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f9c6286e0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çete Hazırlama" sheetId="1" r:id="Ra97b05cdc3d44c08"/>
    <x:sheet xmlns:r="http://schemas.openxmlformats.org/officeDocument/2006/relationships" name="Reçete Arşivi" sheetId="2" r:id="Rbd2b82f4a3fa4c8b"/>
    <x:sheet xmlns:r="http://schemas.openxmlformats.org/officeDocument/2006/relationships" name="Listeler" sheetId="3" r:id="Rca370f88a0a9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0"/>
    <x:numFmt numFmtId="202" formatCode="0.00"/>
    <x:numFmt numFmtId="203" formatCode="0.000"/>
    <x:numFmt numFmtId="204" formatCode="0.0%"/>
  </x:numFmts>
  <x:fonts count="9">
    <x:font>
      <x:sz val="11"/>
      <x:name val="Carlito"/>
    </x:font>
    <x:font>
      <x:b/>
      <x:sz val="9"/>
      <x:color rgb="FFFFFFFF"/>
      <x:name val="Poppins"/>
    </x:font>
    <x:font>
      <x:sz val="9"/>
      <x:color rgb="FF061A33"/>
      <x:name val="Poppins"/>
    </x:font>
    <x:font>
      <x:b/>
      <x:sz val="16"/>
      <x:color rgb="FFFFFFFF"/>
      <x:name val="Poppins"/>
    </x:font>
    <x:font>
      <x:i/>
      <x:sz val="9"/>
      <x:color rgb="FF5E748C"/>
      <x:name val="Poppins"/>
    </x:font>
    <x:font>
      <x:b/>
      <x:sz val="10"/>
      <x:color rgb="FFFFFFFF"/>
      <x:name val="Poppins"/>
    </x:font>
    <x:font>
      <x:b/>
      <x:sz val="9"/>
      <x:color rgb="FF061A33"/>
      <x:name val="Poppins"/>
    </x:font>
    <x:font>
      <x:sz val="8"/>
      <x:color rgb="FF5E748C"/>
      <x:name val="Poppins"/>
    </x:font>
    <x:font>
      <x:b/>
      <x:sz val="16"/>
      <x:color rgb="FF2FA6D6"/>
      <x:name val="Poppins"/>
    </x:font>
  </x:fonts>
  <x:fills count="6">
    <x:fill>
      <x:patternFill patternType="none"/>
    </x:fill>
    <x:fill>
      <x:patternFill patternType="gray125"/>
    </x:fill>
    <x:fill>
      <x:patternFill patternType="solid">
        <x:fgColor rgb="FF061A33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FA6D6"/>
      </x:patternFill>
    </x:fill>
  </x:fills>
  <x:borders count="6">
    <x:border/>
    <x:border/>
    <x:border>
      <x:bottom style="medium">
        <x:color rgb="FF2FA6D6"/>
      </x:bottom>
    </x:border>
    <x:border>
      <x:bottom style="medium">
        <x:color rgb="FF2FA6D6"/>
      </x:bottom>
    </x:border>
    <x:border>
      <x:top style="thin">
        <x:color rgb="FF2FA6D6"/>
      </x:top>
    </x:border>
    <x:border>
      <x:top style="thin">
        <x:color rgb="FF2FA6D6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1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  <x:xf numFmtId="203" fontId="2" fillId="3" borderId="1" xfId="0" applyNumberFormat="1" applyFont="1" applyFill="1" applyBorder="1" applyAlignment="1">
      <x:alignment vertical="center" wrapText="1"/>
    </x:xf>
    <x:xf numFmtId="204" fontId="2" fillId="3" borderId="0" xfId="0" applyNumberFormat="1" applyFont="1" applyFill="1" applyBorder="1" applyAlignment="1">
      <x:alignment vertical="center" wrapText="1"/>
    </x:xf>
    <x:xf numFmtId="204" fontId="2" fillId="3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4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/>
    <x:xf numFmtId="0" fontId="7" fillId="4" borderId="5" xfId="0" applyNumberFormat="1" applyFont="1" applyFill="1" applyBorder="1"/>
    <x:xf numFmtId="0" fontId="7" fillId="4" borderId="5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204" fontId="8" fillId="3" borderId="0" xfId="0" applyNumberFormat="1" applyFont="1" applyFill="1" applyBorder="1" applyAlignment="1">
      <x:alignment horizontal="center" vertical="center"/>
    </x:xf>
    <x:xf numFmtId="204" fontId="8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bab1a10344ba4" /><Relationship Type="http://schemas.openxmlformats.org/officeDocument/2006/relationships/theme" Target="/xl/theme/theme1.xml" Id="R660034301954497a" /><Relationship Type="http://schemas.openxmlformats.org/officeDocument/2006/relationships/sharedStrings" Target="/xl/sharedStrings.xml" Id="R96c3bd1a641b4cc0" /><Relationship Type="http://schemas.openxmlformats.org/officeDocument/2006/relationships/worksheet" Target="/xl/worksheets/sheet1.xml" Id="Ra97b05cdc3d44c08" /><Relationship Type="http://schemas.openxmlformats.org/officeDocument/2006/relationships/worksheet" Target="/xl/worksheets/sheet2.xml" Id="Rbd2b82f4a3fa4c8b" /><Relationship Type="http://schemas.openxmlformats.org/officeDocument/2006/relationships/worksheet" Target="/xl/worksheets/sheet3.xml" Id="Rca370f88a0a94200" /></Relationships>
</file>

<file path=xl/tables/table1.xml><?xml version="1.0" encoding="utf-8"?>
<x:table xmlns:x="http://schemas.openxmlformats.org/spreadsheetml/2006/main" id="1" name="ReceteArsiviTable" displayName="ReceteArsiviTable" ref="A8:U208" headerRowCount="1">
  <x:tableColumns count="21">
    <x:tableColumn id="1" name="Tarih"/>
    <x:tableColumn id="2" name="Reçete No"/>
    <x:tableColumn id="3" name="Revizyon"/>
    <x:tableColumn id="4" name="Müşteri"/>
    <x:tableColumn id="5" name="Sipariş No"/>
    <x:tableColumn id="6" name="Parti No"/>
    <x:tableColumn id="7" name="Kumaş Cinsi"/>
    <x:tableColumn id="8" name="Kompozisyon"/>
    <x:tableColumn id="9" name="Renk"/>
    <x:tableColumn id="10" name="Renk Grubu"/>
    <x:tableColumn id="11" name="Hedef Parti kg"/>
    <x:tableColumn id="12" name="Flotte"/>
    <x:tableColumn id="13" name="Banyo L"/>
    <x:tableColumn id="14" name="Proses Tipi"/>
    <x:tableColumn id="15" name="Boyarmadde kg"/>
    <x:tableColumn id="16" name="Kimyasal kg"/>
    <x:tableColumn id="17" name="Reçete Durumu"/>
    <x:tableColumn id="18" name="Hazırlayan"/>
    <x:tableColumn id="19" name="Onaylayan"/>
    <x:tableColumn id="20" name="Revizyon Nedeni"/>
    <x:tableColumn id="21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d07c48fc2d4a9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3" hidden="0" customWidth="1"/>
    <x:col min="5" max="5" width="16" hidden="0" customWidth="1"/>
    <x:col min="6" max="6" width="12" hidden="0" customWidth="1"/>
    <x:col min="7" max="7" width="11" hidden="0" customWidth="1"/>
    <x:col min="8" max="8" width="12" hidden="0" customWidth="1"/>
    <x:col min="9" max="9" width="14" hidden="0" customWidth="1"/>
    <x:col min="10" max="10" width="10" hidden="0" customWidth="1"/>
    <x:col min="11" max="11" width="13" hidden="0" customWidth="1"/>
    <x:col min="12" max="12" width="10" hidden="0" customWidth="1"/>
    <x:col min="13" max="13" width="13" hidden="0" customWidth="1"/>
    <x:col min="14" max="14" width="11" hidden="0" customWidth="1"/>
    <x:col min="15" max="15" width="11" hidden="0" customWidth="1"/>
    <x:col min="16" max="16" width="25" hidden="0" customWidth="1"/>
  </x:cols>
  <x:sheetData>
    <x:row r="1" ht="26" customHeight="1">
      <x:c r="A1" s="22" t="str">
        <x:v>BAHRİ BUDAK • REÇETE HAZIRLAMA VE ONAY FORMU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2" ht="26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3" ht="22" customHeight="1">
      <x:c r="A3" s="30" t="str">
        <x:v>Laboratuvar reçetesinin işletmeye aktarılması, miktarların doğrulanması, tartım kontrolü, revizyon ve yetkili onaylarının izlenmesi için hazırlanmıştır.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</x:row>
    <x:row r="4" ht="22" customHeight="1"/>
    <x:row r="5" ht="22" customHeight="1">
      <x:c r="A5" s="39" t="str">
        <x:v>1. REÇETE KİMLİK VE SİPARİŞ BİLGİLERİ</x:v>
      </x:c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</x:row>
    <x:row r="6" ht="22" customHeight="1">
      <x:c r="A6" s="46" t="str">
        <x:v>Tarih</x:v>
      </x:c>
      <x:c r="B6" s="50"/>
      <x:c r="C6" s="50"/>
      <x:c r="D6" s="50"/>
      <x:c r="E6" s="46" t="str">
        <x:v>Reçete No</x:v>
      </x:c>
      <x:c r="F6" s="15"/>
      <x:c r="G6" s="15"/>
      <x:c r="H6" s="15"/>
      <x:c r="I6" s="46" t="str">
        <x:v>Revizyon No</x:v>
      </x:c>
      <x:c r="J6" s="15"/>
      <x:c r="K6" s="15"/>
      <x:c r="L6" s="15"/>
      <x:c r="M6" s="46" t="str">
        <x:v>Reçete Durumu</x:v>
      </x:c>
      <x:c r="N6" s="15"/>
      <x:c r="O6" s="15"/>
      <x:c r="P6" s="15"/>
    </x:row>
    <x:row r="7" ht="22" customHeight="1">
      <x:c r="A7" s="46" t="str">
        <x:v>Müşteri</x:v>
      </x:c>
      <x:c r="B7" s="15"/>
      <x:c r="C7" s="15"/>
      <x:c r="D7" s="15"/>
      <x:c r="E7" s="46" t="str">
        <x:v>Sipariş No</x:v>
      </x:c>
      <x:c r="F7" s="15"/>
      <x:c r="G7" s="15"/>
      <x:c r="H7" s="15"/>
      <x:c r="I7" s="46" t="str">
        <x:v>Parti No</x:v>
      </x:c>
      <x:c r="J7" s="15"/>
      <x:c r="K7" s="15"/>
      <x:c r="L7" s="15"/>
      <x:c r="M7" s="46" t="str">
        <x:v>Laboratuvar Dip No</x:v>
      </x:c>
      <x:c r="N7" s="15"/>
      <x:c r="O7" s="15"/>
      <x:c r="P7" s="15"/>
    </x:row>
    <x:row r="8" ht="22" customHeight="1">
      <x:c r="A8" s="46" t="str">
        <x:v>Kumaş Cinsi</x:v>
      </x:c>
      <x:c r="B8" s="15"/>
      <x:c r="C8" s="15"/>
      <x:c r="D8" s="15"/>
      <x:c r="E8" s="46" t="str">
        <x:v>Kompozisyon</x:v>
      </x:c>
      <x:c r="F8" s="15"/>
      <x:c r="G8" s="15"/>
      <x:c r="H8" s="15"/>
      <x:c r="I8" s="46" t="str">
        <x:v>Örgü Tipi</x:v>
      </x:c>
      <x:c r="J8" s="15"/>
      <x:c r="K8" s="15"/>
      <x:c r="L8" s="15"/>
      <x:c r="M8" s="46" t="str">
        <x:v>Kumaş Formu</x:v>
      </x:c>
      <x:c r="N8" s="15"/>
      <x:c r="O8" s="15"/>
      <x:c r="P8" s="15"/>
    </x:row>
    <x:row r="9" ht="22" customHeight="1">
      <x:c r="A9" s="46" t="str">
        <x:v>Renk Adı</x:v>
      </x:c>
      <x:c r="B9" s="15"/>
      <x:c r="C9" s="15"/>
      <x:c r="D9" s="15"/>
      <x:c r="E9" s="46" t="str">
        <x:v>Renk No</x:v>
      </x:c>
      <x:c r="F9" s="15"/>
      <x:c r="G9" s="15"/>
      <x:c r="H9" s="15"/>
      <x:c r="I9" s="46" t="str">
        <x:v>Renk Grubu</x:v>
      </x:c>
      <x:c r="J9" s="15"/>
      <x:c r="K9" s="15"/>
      <x:c r="L9" s="15"/>
      <x:c r="M9" s="46" t="str">
        <x:v>Hedef Parti (kg)</x:v>
      </x:c>
      <x:c r="N9" s="15"/>
      <x:c r="O9" s="15"/>
      <x:c r="P9" s="15"/>
    </x:row>
    <x:row r="10" ht="22" customHeight="1">
      <x:c r="A10" s="46" t="str">
        <x:v>Flotte Oranı (1:x)</x:v>
      </x:c>
      <x:c r="B10" s="15"/>
      <x:c r="C10" s="15"/>
      <x:c r="D10" s="15"/>
      <x:c r="E10" s="46" t="str">
        <x:v>Toplam Banyo (L)</x:v>
      </x:c>
      <x:c r="F10" s="52" t="str">
        <x:f>IF(OR(B10="",N9=""),"",B10*N9)</x:f>
      </x:c>
      <x:c r="G10" s="52"/>
      <x:c r="H10" s="52"/>
      <x:c r="I10" s="46" t="str">
        <x:v>Makine No</x:v>
      </x:c>
      <x:c r="J10" s="15"/>
      <x:c r="K10" s="15"/>
      <x:c r="L10" s="15"/>
      <x:c r="M10" s="46" t="str">
        <x:v>Makine Kapasitesi (kg)</x:v>
      </x:c>
      <x:c r="N10" s="15"/>
      <x:c r="O10" s="15"/>
      <x:c r="P10" s="15"/>
    </x:row>
    <x:row r="11" ht="22" customHeight="1">
      <x:c r="A11" s="46" t="str">
        <x:v>Müşteri Şartnamesi / Özel İstek</x:v>
      </x:c>
      <x:c r="B11" s="15"/>
      <x:c r="C11" s="15"/>
      <x:c r="D11" s="15"/>
      <x:c r="E11" s="15"/>
      <x:c r="F11" s="15"/>
      <x:c r="G11" s="15"/>
      <x:c r="H11" s="15"/>
      <x:c r="I11" s="46" t="str">
        <x:v>Reçete Hazırlama Notu</x:v>
      </x:c>
      <x:c r="J11" s="15"/>
      <x:c r="K11" s="15"/>
      <x:c r="L11" s="15"/>
      <x:c r="M11" s="15"/>
      <x:c r="N11" s="15"/>
      <x:c r="O11" s="15"/>
      <x:c r="P11" s="15"/>
    </x:row>
    <x:row r="12" ht="22" customHeight="1"/>
    <x:row r="13" ht="22" customHeight="1">
      <x:c r="A13" s="39" t="str">
        <x:v>2. PROSES HEDEFLERİ VE TEKNİK PARAMETRELER</x:v>
      </x:c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</x:row>
    <x:row r="14" ht="22" customHeight="1">
      <x:c r="A14" s="46" t="str">
        <x:v>Proses Tipi</x:v>
      </x:c>
      <x:c r="B14" s="15"/>
      <x:c r="C14" s="15"/>
      <x:c r="D14" s="15"/>
      <x:c r="E14" s="46" t="str">
        <x:v>Başlangıç pH</x:v>
      </x:c>
      <x:c r="F14" s="15"/>
      <x:c r="G14" s="15"/>
      <x:c r="H14" s="15"/>
      <x:c r="I14" s="46" t="str">
        <x:v>Hedef Final pH</x:v>
      </x:c>
      <x:c r="J14" s="15"/>
      <x:c r="K14" s="15"/>
      <x:c r="L14" s="15"/>
      <x:c r="M14" s="46" t="str">
        <x:v>Başlangıç Sıcaklığı (°C)</x:v>
      </x:c>
      <x:c r="N14" s="15"/>
      <x:c r="O14" s="15"/>
      <x:c r="P14" s="15"/>
    </x:row>
    <x:row r="15" ht="22" customHeight="1">
      <x:c r="A15" s="46" t="str">
        <x:v>Boyama Sıcaklığı (°C)</x:v>
      </x:c>
      <x:c r="B15" s="15"/>
      <x:c r="C15" s="15"/>
      <x:c r="D15" s="15"/>
      <x:c r="E15" s="46" t="str">
        <x:v>Boyama Süresi (dk)</x:v>
      </x:c>
      <x:c r="F15" s="15"/>
      <x:c r="G15" s="15"/>
      <x:c r="H15" s="15"/>
      <x:c r="I15" s="46" t="str">
        <x:v>Isıtma Hızı (°C/dk)</x:v>
      </x:c>
      <x:c r="J15" s="15"/>
      <x:c r="K15" s="15"/>
      <x:c r="L15" s="15"/>
      <x:c r="M15" s="46" t="str">
        <x:v>Soğutma Hızı (°C/dk)</x:v>
      </x:c>
      <x:c r="N15" s="15"/>
      <x:c r="O15" s="15"/>
      <x:c r="P15" s="15"/>
    </x:row>
    <x:row r="16" ht="22" customHeight="1">
      <x:c r="A16" s="46" t="str">
        <x:v>Tuz / İletkenlik Hedefi</x:v>
      </x:c>
      <x:c r="B16" s="15"/>
      <x:c r="C16" s="15"/>
      <x:c r="D16" s="15"/>
      <x:c r="E16" s="46" t="str">
        <x:v>Alkali / Asit Hedefi</x:v>
      </x:c>
      <x:c r="F16" s="15"/>
      <x:c r="G16" s="15"/>
      <x:c r="H16" s="15"/>
      <x:c r="I16" s="46" t="str">
        <x:v>Numune Alma Noktası</x:v>
      </x:c>
      <x:c r="J16" s="15"/>
      <x:c r="K16" s="15"/>
      <x:c r="L16" s="15"/>
      <x:c r="M16" s="46" t="str">
        <x:v>Final Kontrol Noktası</x:v>
      </x:c>
      <x:c r="N16" s="15"/>
      <x:c r="O16" s="15"/>
      <x:c r="P16" s="15"/>
    </x:row>
    <x:row r="17" ht="22" customHeight="1">
      <x:c r="A17" s="46" t="str">
        <x:v>Laboratuvar Renk Sonucu</x:v>
      </x:c>
      <x:c r="B17" s="15"/>
      <x:c r="C17" s="15"/>
      <x:c r="D17" s="15"/>
      <x:c r="E17" s="46" t="str">
        <x:v>Metameri Kontrolü</x:v>
      </x:c>
      <x:c r="F17" s="15"/>
      <x:c r="G17" s="15"/>
      <x:c r="H17" s="15"/>
      <x:c r="I17" s="46" t="str">
        <x:v>Yıkama Haslığı Hedefi</x:v>
      </x:c>
      <x:c r="J17" s="15"/>
      <x:c r="K17" s="15"/>
      <x:c r="L17" s="15"/>
      <x:c r="M17" s="46" t="str">
        <x:v>Sürtme Haslığı Hedefi</x:v>
      </x:c>
      <x:c r="N17" s="15"/>
      <x:c r="O17" s="15"/>
      <x:c r="P17" s="15"/>
    </x:row>
    <x:row r="18" ht="22" customHeight="1">
      <x:c r="A18" s="46" t="str">
        <x:v>Onaylı Standart / Referans</x:v>
      </x:c>
      <x:c r="B18" s="15"/>
      <x:c r="C18" s="15"/>
      <x:c r="D18" s="15"/>
      <x:c r="E18" s="46" t="str">
        <x:v>Boya Serisi / Kombinasyonu</x:v>
      </x:c>
      <x:c r="F18" s="15"/>
      <x:c r="G18" s="15"/>
      <x:c r="H18" s="15"/>
      <x:c r="I18" s="46" t="str">
        <x:v>Su Kalitesi Notu</x:v>
      </x:c>
      <x:c r="J18" s="15"/>
      <x:c r="K18" s="15"/>
      <x:c r="L18" s="15"/>
      <x:c r="M18" s="46" t="str">
        <x:v>Proses Diyagramı No</x:v>
      </x:c>
      <x:c r="N18" s="15"/>
      <x:c r="O18" s="15"/>
      <x:c r="P18" s="15"/>
    </x:row>
    <x:row r="19" ht="22" customHeight="1">
      <x:c r="A19" s="46" t="str">
        <x:v>Risk / Kritik Nokta</x:v>
      </x:c>
      <x:c r="B19" s="15"/>
      <x:c r="C19" s="15"/>
      <x:c r="D19" s="15"/>
      <x:c r="E19" s="15"/>
      <x:c r="F19" s="15"/>
      <x:c r="G19" s="15"/>
      <x:c r="H19" s="15"/>
      <x:c r="I19" s="46" t="str">
        <x:v>Alternatif / Düzeltme Notu</x:v>
      </x:c>
      <x:c r="J19" s="15"/>
      <x:c r="K19" s="15"/>
      <x:c r="L19" s="15"/>
      <x:c r="M19" s="15"/>
      <x:c r="N19" s="15"/>
      <x:c r="O19" s="15"/>
      <x:c r="P19" s="15"/>
    </x:row>
    <x:row r="20" ht="22" customHeight="1"/>
    <x:row r="21" ht="22" customHeight="1">
      <x:c r="A21" s="39" t="str">
        <x:v>3. BOYARMADDE VE KİMYASAL DOZAJ TABLOSU</x:v>
      </x:c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</x:row>
    <x:row r="22" ht="28" customHeight="1">
      <x:c r="A22" s="55" t="str">
        <x:v>Sabit kimyasal alanı kullanılmaz. Yalnızca onaylı reçetede yer alan boyarmadde ve kimyasallar satır bazında kaydedilir.</x:v>
      </x:c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</x:row>
    <x:row r="23" ht="22" customHeight="1">
      <x:c r="A23" s="6" t="str">
        <x:v>Sıra</x:v>
      </x:c>
      <x:c r="B23" s="6" t="str">
        <x:v>Malzeme / Ticari Ürün</x:v>
      </x:c>
      <x:c r="C23" s="6" t="str"/>
      <x:c r="D23" s="6" t="str"/>
      <x:c r="E23" s="6" t="str">
        <x:v>Malzeme Grubu</x:v>
      </x:c>
      <x:c r="F23" s="6" t="str">
        <x:v>Dozaj Birimi</x:v>
      </x:c>
      <x:c r="G23" s="6" t="str">
        <x:v>Hedef Doz</x:v>
      </x:c>
      <x:c r="H23" s="6" t="str">
        <x:v>Ticari Kons. %</x:v>
      </x:c>
      <x:c r="I23" s="6" t="str">
        <x:v>Hesaplanan Miktar</x:v>
      </x:c>
      <x:c r="J23" s="6" t="str">
        <x:v>Birim</x:v>
      </x:c>
      <x:c r="K23" s="6" t="str">
        <x:v>Tartılan Miktar</x:v>
      </x:c>
      <x:c r="L23" s="6" t="str">
        <x:v>Fark %</x:v>
      </x:c>
      <x:c r="M23" s="6" t="str">
        <x:v>Aşama</x:v>
      </x:c>
      <x:c r="N23" s="6" t="str">
        <x:v>Veriliş °C</x:v>
      </x:c>
      <x:c r="O23" s="6" t="str">
        <x:v>Dozaj dk</x:v>
      </x:c>
      <x:c r="P23" s="6" t="str">
        <x:v>Kontrol / Not</x:v>
      </x:c>
    </x:row>
    <x:row r="24" ht="22" customHeight="1">
      <x:c r="A24" s="15" t="n">
        <x:v>1</x:v>
      </x:c>
      <x:c r="B24" s="15"/>
      <x:c r="C24" s="15"/>
      <x:c r="D24" s="15"/>
      <x:c r="E24" s="15"/>
      <x:c r="F24" s="15"/>
      <x:c r="G24" s="15"/>
      <x:c r="H24" s="58"/>
      <x:c r="I24" s="60" t="str">
        <x:f>IF(F24="% HT",G24*$N$9/100/IF(OR(H24="",H24=0),1,H24/100),IF(F24="g/L",G24*$F$10/1000/IF(OR(H24="",H24=0),1,H24/100),IF(F24="kg",G24/IF(OR(H24="",H24=0),1,H24/100),IF(F24="mL/L",G24*$F$10/1000/IF(OR(H24="",H24=0),1,H24/100),""))))</x:f>
      </x:c>
      <x:c r="J24" s="15" t="str">
        <x:f>IF(OR(F24="% HT",F24="g/L",F24="kg"),"kg",IF(F24="mL/L","L",""))</x:f>
      </x:c>
      <x:c r="K24" s="60"/>
      <x:c r="L24" s="62" t="str">
        <x:f>IF(OR(I24="",K24=""),"",IF(I24=0,"",(K24-I24)/I24))</x:f>
      </x:c>
      <x:c r="M24" s="15"/>
      <x:c r="N24" s="15"/>
      <x:c r="O24" s="15"/>
      <x:c r="P24" s="15"/>
    </x:row>
    <x:row r="25" ht="22" customHeight="1">
      <x:c r="A25" s="15" t="n">
        <x:v>2</x:v>
      </x:c>
      <x:c r="B25" s="15"/>
      <x:c r="C25" s="15"/>
      <x:c r="D25" s="15"/>
      <x:c r="E25" s="15"/>
      <x:c r="F25" s="15"/>
      <x:c r="G25" s="15"/>
      <x:c r="H25" s="58"/>
      <x:c r="I25" s="60" t="str">
        <x:f>IF(F25="% HT",G25*$N$9/100/IF(OR(H25="",H25=0),1,H25/100),IF(F25="g/L",G25*$F$10/1000/IF(OR(H25="",H25=0),1,H25/100),IF(F25="kg",G25/IF(OR(H25="",H25=0),1,H25/100),IF(F25="mL/L",G25*$F$10/1000/IF(OR(H25="",H25=0),1,H25/100),""))))</x:f>
      </x:c>
      <x:c r="J25" s="15" t="str">
        <x:f>IF(OR(F25="% HT",F25="g/L",F25="kg"),"kg",IF(F25="mL/L","L",""))</x:f>
      </x:c>
      <x:c r="K25" s="60"/>
      <x:c r="L25" s="62" t="str">
        <x:f>IF(OR(I25="",K25=""),"",IF(I25=0,"",(K25-I25)/I25))</x:f>
      </x:c>
      <x:c r="M25" s="15"/>
      <x:c r="N25" s="15"/>
      <x:c r="O25" s="15"/>
      <x:c r="P25" s="15"/>
    </x:row>
    <x:row r="26" ht="22" customHeight="1">
      <x:c r="A26" s="15" t="n">
        <x:v>3</x:v>
      </x:c>
      <x:c r="B26" s="15"/>
      <x:c r="C26" s="15"/>
      <x:c r="D26" s="15"/>
      <x:c r="E26" s="15"/>
      <x:c r="F26" s="15"/>
      <x:c r="G26" s="15"/>
      <x:c r="H26" s="58"/>
      <x:c r="I26" s="60" t="str">
        <x:f>IF(F26="% HT",G26*$N$9/100/IF(OR(H26="",H26=0),1,H26/100),IF(F26="g/L",G26*$F$10/1000/IF(OR(H26="",H26=0),1,H26/100),IF(F26="kg",G26/IF(OR(H26="",H26=0),1,H26/100),IF(F26="mL/L",G26*$F$10/1000/IF(OR(H26="",H26=0),1,H26/100),""))))</x:f>
      </x:c>
      <x:c r="J26" s="15" t="str">
        <x:f>IF(OR(F26="% HT",F26="g/L",F26="kg"),"kg",IF(F26="mL/L","L",""))</x:f>
      </x:c>
      <x:c r="K26" s="60"/>
      <x:c r="L26" s="62" t="str">
        <x:f>IF(OR(I26="",K26=""),"",IF(I26=0,"",(K26-I26)/I26))</x:f>
      </x:c>
      <x:c r="M26" s="15"/>
      <x:c r="N26" s="15"/>
      <x:c r="O26" s="15"/>
      <x:c r="P26" s="15"/>
    </x:row>
    <x:row r="27" ht="22" customHeight="1">
      <x:c r="A27" s="15" t="n">
        <x:v>4</x:v>
      </x:c>
      <x:c r="B27" s="15"/>
      <x:c r="C27" s="15"/>
      <x:c r="D27" s="15"/>
      <x:c r="E27" s="15"/>
      <x:c r="F27" s="15"/>
      <x:c r="G27" s="15"/>
      <x:c r="H27" s="58"/>
      <x:c r="I27" s="60" t="str">
        <x:f>IF(F27="% HT",G27*$N$9/100/IF(OR(H27="",H27=0),1,H27/100),IF(F27="g/L",G27*$F$10/1000/IF(OR(H27="",H27=0),1,H27/100),IF(F27="kg",G27/IF(OR(H27="",H27=0),1,H27/100),IF(F27="mL/L",G27*$F$10/1000/IF(OR(H27="",H27=0),1,H27/100),""))))</x:f>
      </x:c>
      <x:c r="J27" s="15" t="str">
        <x:f>IF(OR(F27="% HT",F27="g/L",F27="kg"),"kg",IF(F27="mL/L","L",""))</x:f>
      </x:c>
      <x:c r="K27" s="60"/>
      <x:c r="L27" s="62" t="str">
        <x:f>IF(OR(I27="",K27=""),"",IF(I27=0,"",(K27-I27)/I27))</x:f>
      </x:c>
      <x:c r="M27" s="15"/>
      <x:c r="N27" s="15"/>
      <x:c r="O27" s="15"/>
      <x:c r="P27" s="15"/>
    </x:row>
    <x:row r="28" ht="22" customHeight="1">
      <x:c r="A28" s="15" t="n">
        <x:v>5</x:v>
      </x:c>
      <x:c r="B28" s="15"/>
      <x:c r="C28" s="15"/>
      <x:c r="D28" s="15"/>
      <x:c r="E28" s="15"/>
      <x:c r="F28" s="15"/>
      <x:c r="G28" s="15"/>
      <x:c r="H28" s="58"/>
      <x:c r="I28" s="60" t="str">
        <x:f>IF(F28="% HT",G28*$N$9/100/IF(OR(H28="",H28=0),1,H28/100),IF(F28="g/L",G28*$F$10/1000/IF(OR(H28="",H28=0),1,H28/100),IF(F28="kg",G28/IF(OR(H28="",H28=0),1,H28/100),IF(F28="mL/L",G28*$F$10/1000/IF(OR(H28="",H28=0),1,H28/100),""))))</x:f>
      </x:c>
      <x:c r="J28" s="15" t="str">
        <x:f>IF(OR(F28="% HT",F28="g/L",F28="kg"),"kg",IF(F28="mL/L","L",""))</x:f>
      </x:c>
      <x:c r="K28" s="60"/>
      <x:c r="L28" s="62" t="str">
        <x:f>IF(OR(I28="",K28=""),"",IF(I28=0,"",(K28-I28)/I28))</x:f>
      </x:c>
      <x:c r="M28" s="15"/>
      <x:c r="N28" s="15"/>
      <x:c r="O28" s="15"/>
      <x:c r="P28" s="15"/>
    </x:row>
    <x:row r="29" ht="22" customHeight="1">
      <x:c r="A29" s="15" t="n">
        <x:v>6</x:v>
      </x:c>
      <x:c r="B29" s="15"/>
      <x:c r="C29" s="15"/>
      <x:c r="D29" s="15"/>
      <x:c r="E29" s="15"/>
      <x:c r="F29" s="15"/>
      <x:c r="G29" s="15"/>
      <x:c r="H29" s="58"/>
      <x:c r="I29" s="60" t="str">
        <x:f>IF(F29="% HT",G29*$N$9/100/IF(OR(H29="",H29=0),1,H29/100),IF(F29="g/L",G29*$F$10/1000/IF(OR(H29="",H29=0),1,H29/100),IF(F29="kg",G29/IF(OR(H29="",H29=0),1,H29/100),IF(F29="mL/L",G29*$F$10/1000/IF(OR(H29="",H29=0),1,H29/100),""))))</x:f>
      </x:c>
      <x:c r="J29" s="15" t="str">
        <x:f>IF(OR(F29="% HT",F29="g/L",F29="kg"),"kg",IF(F29="mL/L","L",""))</x:f>
      </x:c>
      <x:c r="K29" s="60"/>
      <x:c r="L29" s="62" t="str">
        <x:f>IF(OR(I29="",K29=""),"",IF(I29=0,"",(K29-I29)/I29))</x:f>
      </x:c>
      <x:c r="M29" s="15"/>
      <x:c r="N29" s="15"/>
      <x:c r="O29" s="15"/>
      <x:c r="P29" s="15"/>
    </x:row>
    <x:row r="30" ht="22" customHeight="1">
      <x:c r="A30" s="15" t="n">
        <x:v>7</x:v>
      </x:c>
      <x:c r="B30" s="15"/>
      <x:c r="C30" s="15"/>
      <x:c r="D30" s="15"/>
      <x:c r="E30" s="15"/>
      <x:c r="F30" s="15"/>
      <x:c r="G30" s="15"/>
      <x:c r="H30" s="58"/>
      <x:c r="I30" s="60" t="str">
        <x:f>IF(F30="% HT",G30*$N$9/100/IF(OR(H30="",H30=0),1,H30/100),IF(F30="g/L",G30*$F$10/1000/IF(OR(H30="",H30=0),1,H30/100),IF(F30="kg",G30/IF(OR(H30="",H30=0),1,H30/100),IF(F30="mL/L",G30*$F$10/1000/IF(OR(H30="",H30=0),1,H30/100),""))))</x:f>
      </x:c>
      <x:c r="J30" s="15" t="str">
        <x:f>IF(OR(F30="% HT",F30="g/L",F30="kg"),"kg",IF(F30="mL/L","L",""))</x:f>
      </x:c>
      <x:c r="K30" s="60"/>
      <x:c r="L30" s="62" t="str">
        <x:f>IF(OR(I30="",K30=""),"",IF(I30=0,"",(K30-I30)/I30))</x:f>
      </x:c>
      <x:c r="M30" s="15"/>
      <x:c r="N30" s="15"/>
      <x:c r="O30" s="15"/>
      <x:c r="P30" s="15"/>
    </x:row>
    <x:row r="31" ht="22" customHeight="1">
      <x:c r="A31" s="15" t="n">
        <x:v>8</x:v>
      </x:c>
      <x:c r="B31" s="15"/>
      <x:c r="C31" s="15"/>
      <x:c r="D31" s="15"/>
      <x:c r="E31" s="15"/>
      <x:c r="F31" s="15"/>
      <x:c r="G31" s="15"/>
      <x:c r="H31" s="58"/>
      <x:c r="I31" s="60" t="str">
        <x:f>IF(F31="% HT",G31*$N$9/100/IF(OR(H31="",H31=0),1,H31/100),IF(F31="g/L",G31*$F$10/1000/IF(OR(H31="",H31=0),1,H31/100),IF(F31="kg",G31/IF(OR(H31="",H31=0),1,H31/100),IF(F31="mL/L",G31*$F$10/1000/IF(OR(H31="",H31=0),1,H31/100),""))))</x:f>
      </x:c>
      <x:c r="J31" s="15" t="str">
        <x:f>IF(OR(F31="% HT",F31="g/L",F31="kg"),"kg",IF(F31="mL/L","L",""))</x:f>
      </x:c>
      <x:c r="K31" s="60"/>
      <x:c r="L31" s="62" t="str">
        <x:f>IF(OR(I31="",K31=""),"",IF(I31=0,"",(K31-I31)/I31))</x:f>
      </x:c>
      <x:c r="M31" s="15"/>
      <x:c r="N31" s="15"/>
      <x:c r="O31" s="15"/>
      <x:c r="P31" s="15"/>
    </x:row>
    <x:row r="32" ht="22" customHeight="1">
      <x:c r="A32" s="15" t="n">
        <x:v>9</x:v>
      </x:c>
      <x:c r="B32" s="15"/>
      <x:c r="C32" s="15"/>
      <x:c r="D32" s="15"/>
      <x:c r="E32" s="15"/>
      <x:c r="F32" s="15"/>
      <x:c r="G32" s="15"/>
      <x:c r="H32" s="58"/>
      <x:c r="I32" s="60" t="str">
        <x:f>IF(F32="% HT",G32*$N$9/100/IF(OR(H32="",H32=0),1,H32/100),IF(F32="g/L",G32*$F$10/1000/IF(OR(H32="",H32=0),1,H32/100),IF(F32="kg",G32/IF(OR(H32="",H32=0),1,H32/100),IF(F32="mL/L",G32*$F$10/1000/IF(OR(H32="",H32=0),1,H32/100),""))))</x:f>
      </x:c>
      <x:c r="J32" s="15" t="str">
        <x:f>IF(OR(F32="% HT",F32="g/L",F32="kg"),"kg",IF(F32="mL/L","L",""))</x:f>
      </x:c>
      <x:c r="K32" s="60"/>
      <x:c r="L32" s="62" t="str">
        <x:f>IF(OR(I32="",K32=""),"",IF(I32=0,"",(K32-I32)/I32))</x:f>
      </x:c>
      <x:c r="M32" s="15"/>
      <x:c r="N32" s="15"/>
      <x:c r="O32" s="15"/>
      <x:c r="P32" s="15"/>
    </x:row>
    <x:row r="33" ht="22" customHeight="1">
      <x:c r="A33" s="15" t="n">
        <x:v>10</x:v>
      </x:c>
      <x:c r="B33" s="15"/>
      <x:c r="C33" s="15"/>
      <x:c r="D33" s="15"/>
      <x:c r="E33" s="15"/>
      <x:c r="F33" s="15"/>
      <x:c r="G33" s="15"/>
      <x:c r="H33" s="58"/>
      <x:c r="I33" s="60" t="str">
        <x:f>IF(F33="% HT",G33*$N$9/100/IF(OR(H33="",H33=0),1,H33/100),IF(F33="g/L",G33*$F$10/1000/IF(OR(H33="",H33=0),1,H33/100),IF(F33="kg",G33/IF(OR(H33="",H33=0),1,H33/100),IF(F33="mL/L",G33*$F$10/1000/IF(OR(H33="",H33=0),1,H33/100),""))))</x:f>
      </x:c>
      <x:c r="J33" s="15" t="str">
        <x:f>IF(OR(F33="% HT",F33="g/L",F33="kg"),"kg",IF(F33="mL/L","L",""))</x:f>
      </x:c>
      <x:c r="K33" s="60"/>
      <x:c r="L33" s="62" t="str">
        <x:f>IF(OR(I33="",K33=""),"",IF(I33=0,"",(K33-I33)/I33))</x:f>
      </x:c>
      <x:c r="M33" s="15"/>
      <x:c r="N33" s="15"/>
      <x:c r="O33" s="15"/>
      <x:c r="P33" s="15"/>
    </x:row>
    <x:row r="34" ht="22" customHeight="1">
      <x:c r="A34" s="15" t="n">
        <x:v>11</x:v>
      </x:c>
      <x:c r="B34" s="15"/>
      <x:c r="C34" s="15"/>
      <x:c r="D34" s="15"/>
      <x:c r="E34" s="15"/>
      <x:c r="F34" s="15"/>
      <x:c r="G34" s="15"/>
      <x:c r="H34" s="58"/>
      <x:c r="I34" s="60" t="str">
        <x:f>IF(F34="% HT",G34*$N$9/100/IF(OR(H34="",H34=0),1,H34/100),IF(F34="g/L",G34*$F$10/1000/IF(OR(H34="",H34=0),1,H34/100),IF(F34="kg",G34/IF(OR(H34="",H34=0),1,H34/100),IF(F34="mL/L",G34*$F$10/1000/IF(OR(H34="",H34=0),1,H34/100),""))))</x:f>
      </x:c>
      <x:c r="J34" s="15" t="str">
        <x:f>IF(OR(F34="% HT",F34="g/L",F34="kg"),"kg",IF(F34="mL/L","L",""))</x:f>
      </x:c>
      <x:c r="K34" s="60"/>
      <x:c r="L34" s="62" t="str">
        <x:f>IF(OR(I34="",K34=""),"",IF(I34=0,"",(K34-I34)/I34))</x:f>
      </x:c>
      <x:c r="M34" s="15"/>
      <x:c r="N34" s="15"/>
      <x:c r="O34" s="15"/>
      <x:c r="P34" s="15"/>
    </x:row>
    <x:row r="35" ht="22" customHeight="1">
      <x:c r="A35" s="15" t="n">
        <x:v>12</x:v>
      </x:c>
      <x:c r="B35" s="15"/>
      <x:c r="C35" s="15"/>
      <x:c r="D35" s="15"/>
      <x:c r="E35" s="15"/>
      <x:c r="F35" s="15"/>
      <x:c r="G35" s="15"/>
      <x:c r="H35" s="58"/>
      <x:c r="I35" s="60" t="str">
        <x:f>IF(F35="% HT",G35*$N$9/100/IF(OR(H35="",H35=0),1,H35/100),IF(F35="g/L",G35*$F$10/1000/IF(OR(H35="",H35=0),1,H35/100),IF(F35="kg",G35/IF(OR(H35="",H35=0),1,H35/100),IF(F35="mL/L",G35*$F$10/1000/IF(OR(H35="",H35=0),1,H35/100),""))))</x:f>
      </x:c>
      <x:c r="J35" s="15" t="str">
        <x:f>IF(OR(F35="% HT",F35="g/L",F35="kg"),"kg",IF(F35="mL/L","L",""))</x:f>
      </x:c>
      <x:c r="K35" s="60"/>
      <x:c r="L35" s="62" t="str">
        <x:f>IF(OR(I35="",K35=""),"",IF(I35=0,"",(K35-I35)/I35))</x:f>
      </x:c>
      <x:c r="M35" s="15"/>
      <x:c r="N35" s="15"/>
      <x:c r="O35" s="15"/>
      <x:c r="P35" s="15"/>
    </x:row>
    <x:row r="36" ht="22" customHeight="1">
      <x:c r="A36" s="15" t="n">
        <x:v>13</x:v>
      </x:c>
      <x:c r="B36" s="15"/>
      <x:c r="C36" s="15"/>
      <x:c r="D36" s="15"/>
      <x:c r="E36" s="15"/>
      <x:c r="F36" s="15"/>
      <x:c r="G36" s="15"/>
      <x:c r="H36" s="58"/>
      <x:c r="I36" s="60" t="str">
        <x:f>IF(F36="% HT",G36*$N$9/100/IF(OR(H36="",H36=0),1,H36/100),IF(F36="g/L",G36*$F$10/1000/IF(OR(H36="",H36=0),1,H36/100),IF(F36="kg",G36/IF(OR(H36="",H36=0),1,H36/100),IF(F36="mL/L",G36*$F$10/1000/IF(OR(H36="",H36=0),1,H36/100),""))))</x:f>
      </x:c>
      <x:c r="J36" s="15" t="str">
        <x:f>IF(OR(F36="% HT",F36="g/L",F36="kg"),"kg",IF(F36="mL/L","L",""))</x:f>
      </x:c>
      <x:c r="K36" s="60"/>
      <x:c r="L36" s="62" t="str">
        <x:f>IF(OR(I36="",K36=""),"",IF(I36=0,"",(K36-I36)/I36))</x:f>
      </x:c>
      <x:c r="M36" s="15"/>
      <x:c r="N36" s="15"/>
      <x:c r="O36" s="15"/>
      <x:c r="P36" s="15"/>
    </x:row>
    <x:row r="37" ht="22" customHeight="1">
      <x:c r="A37" s="15" t="n">
        <x:v>14</x:v>
      </x:c>
      <x:c r="B37" s="15"/>
      <x:c r="C37" s="15"/>
      <x:c r="D37" s="15"/>
      <x:c r="E37" s="15"/>
      <x:c r="F37" s="15"/>
      <x:c r="G37" s="15"/>
      <x:c r="H37" s="58"/>
      <x:c r="I37" s="60" t="str">
        <x:f>IF(F37="% HT",G37*$N$9/100/IF(OR(H37="",H37=0),1,H37/100),IF(F37="g/L",G37*$F$10/1000/IF(OR(H37="",H37=0),1,H37/100),IF(F37="kg",G37/IF(OR(H37="",H37=0),1,H37/100),IF(F37="mL/L",G37*$F$10/1000/IF(OR(H37="",H37=0),1,H37/100),""))))</x:f>
      </x:c>
      <x:c r="J37" s="15" t="str">
        <x:f>IF(OR(F37="% HT",F37="g/L",F37="kg"),"kg",IF(F37="mL/L","L",""))</x:f>
      </x:c>
      <x:c r="K37" s="60"/>
      <x:c r="L37" s="62" t="str">
        <x:f>IF(OR(I37="",K37=""),"",IF(I37=0,"",(K37-I37)/I37))</x:f>
      </x:c>
      <x:c r="M37" s="15"/>
      <x:c r="N37" s="15"/>
      <x:c r="O37" s="15"/>
      <x:c r="P37" s="15"/>
    </x:row>
    <x:row r="38" ht="22" customHeight="1">
      <x:c r="A38" s="15" t="n">
        <x:v>15</x:v>
      </x:c>
      <x:c r="B38" s="15"/>
      <x:c r="C38" s="15"/>
      <x:c r="D38" s="15"/>
      <x:c r="E38" s="15"/>
      <x:c r="F38" s="15"/>
      <x:c r="G38" s="15"/>
      <x:c r="H38" s="58"/>
      <x:c r="I38" s="60" t="str">
        <x:f>IF(F38="% HT",G38*$N$9/100/IF(OR(H38="",H38=0),1,H38/100),IF(F38="g/L",G38*$F$10/1000/IF(OR(H38="",H38=0),1,H38/100),IF(F38="kg",G38/IF(OR(H38="",H38=0),1,H38/100),IF(F38="mL/L",G38*$F$10/1000/IF(OR(H38="",H38=0),1,H38/100),""))))</x:f>
      </x:c>
      <x:c r="J38" s="15" t="str">
        <x:f>IF(OR(F38="% HT",F38="g/L",F38="kg"),"kg",IF(F38="mL/L","L",""))</x:f>
      </x:c>
      <x:c r="K38" s="60"/>
      <x:c r="L38" s="62" t="str">
        <x:f>IF(OR(I38="",K38=""),"",IF(I38=0,"",(K38-I38)/I38))</x:f>
      </x:c>
      <x:c r="M38" s="15"/>
      <x:c r="N38" s="15"/>
      <x:c r="O38" s="15"/>
      <x:c r="P38" s="15"/>
    </x:row>
    <x:row r="39" ht="22" customHeight="1">
      <x:c r="A39" s="15" t="n">
        <x:v>16</x:v>
      </x:c>
      <x:c r="B39" s="15"/>
      <x:c r="C39" s="15"/>
      <x:c r="D39" s="15"/>
      <x:c r="E39" s="15"/>
      <x:c r="F39" s="15"/>
      <x:c r="G39" s="15"/>
      <x:c r="H39" s="58"/>
      <x:c r="I39" s="60" t="str">
        <x:f>IF(F39="% HT",G39*$N$9/100/IF(OR(H39="",H39=0),1,H39/100),IF(F39="g/L",G39*$F$10/1000/IF(OR(H39="",H39=0),1,H39/100),IF(F39="kg",G39/IF(OR(H39="",H39=0),1,H39/100),IF(F39="mL/L",G39*$F$10/1000/IF(OR(H39="",H39=0),1,H39/100),""))))</x:f>
      </x:c>
      <x:c r="J39" s="15" t="str">
        <x:f>IF(OR(F39="% HT",F39="g/L",F39="kg"),"kg",IF(F39="mL/L","L",""))</x:f>
      </x:c>
      <x:c r="K39" s="60"/>
      <x:c r="L39" s="62" t="str">
        <x:f>IF(OR(I39="",K39=""),"",IF(I39=0,"",(K39-I39)/I39))</x:f>
      </x:c>
      <x:c r="M39" s="15"/>
      <x:c r="N39" s="15"/>
      <x:c r="O39" s="15"/>
      <x:c r="P39" s="15"/>
    </x:row>
    <x:row r="40" ht="22" customHeight="1">
      <x:c r="A40" s="15" t="n">
        <x:v>17</x:v>
      </x:c>
      <x:c r="B40" s="15"/>
      <x:c r="C40" s="15"/>
      <x:c r="D40" s="15"/>
      <x:c r="E40" s="15"/>
      <x:c r="F40" s="15"/>
      <x:c r="G40" s="15"/>
      <x:c r="H40" s="58"/>
      <x:c r="I40" s="60" t="str">
        <x:f>IF(F40="% HT",G40*$N$9/100/IF(OR(H40="",H40=0),1,H40/100),IF(F40="g/L",G40*$F$10/1000/IF(OR(H40="",H40=0),1,H40/100),IF(F40="kg",G40/IF(OR(H40="",H40=0),1,H40/100),IF(F40="mL/L",G40*$F$10/1000/IF(OR(H40="",H40=0),1,H40/100),""))))</x:f>
      </x:c>
      <x:c r="J40" s="15" t="str">
        <x:f>IF(OR(F40="% HT",F40="g/L",F40="kg"),"kg",IF(F40="mL/L","L",""))</x:f>
      </x:c>
      <x:c r="K40" s="60"/>
      <x:c r="L40" s="62" t="str">
        <x:f>IF(OR(I40="",K40=""),"",IF(I40=0,"",(K40-I40)/I40))</x:f>
      </x:c>
      <x:c r="M40" s="15"/>
      <x:c r="N40" s="15"/>
      <x:c r="O40" s="15"/>
      <x:c r="P40" s="15"/>
    </x:row>
    <x:row r="41" ht="22" customHeight="1">
      <x:c r="A41" s="15" t="n">
        <x:v>18</x:v>
      </x:c>
      <x:c r="B41" s="15"/>
      <x:c r="C41" s="15"/>
      <x:c r="D41" s="15"/>
      <x:c r="E41" s="15"/>
      <x:c r="F41" s="15"/>
      <x:c r="G41" s="15"/>
      <x:c r="H41" s="58"/>
      <x:c r="I41" s="60" t="str">
        <x:f>IF(F41="% HT",G41*$N$9/100/IF(OR(H41="",H41=0),1,H41/100),IF(F41="g/L",G41*$F$10/1000/IF(OR(H41="",H41=0),1,H41/100),IF(F41="kg",G41/IF(OR(H41="",H41=0),1,H41/100),IF(F41="mL/L",G41*$F$10/1000/IF(OR(H41="",H41=0),1,H41/100),""))))</x:f>
      </x:c>
      <x:c r="J41" s="15" t="str">
        <x:f>IF(OR(F41="% HT",F41="g/L",F41="kg"),"kg",IF(F41="mL/L","L",""))</x:f>
      </x:c>
      <x:c r="K41" s="60"/>
      <x:c r="L41" s="62" t="str">
        <x:f>IF(OR(I41="",K41=""),"",IF(I41=0,"",(K41-I41)/I41))</x:f>
      </x:c>
      <x:c r="M41" s="15"/>
      <x:c r="N41" s="15"/>
      <x:c r="O41" s="15"/>
      <x:c r="P41" s="15"/>
    </x:row>
    <x:row r="42" ht="22" customHeight="1">
      <x:c r="A42" s="15" t="n">
        <x:v>19</x:v>
      </x:c>
      <x:c r="B42" s="15"/>
      <x:c r="C42" s="15"/>
      <x:c r="D42" s="15"/>
      <x:c r="E42" s="15"/>
      <x:c r="F42" s="15"/>
      <x:c r="G42" s="15"/>
      <x:c r="H42" s="58"/>
      <x:c r="I42" s="60" t="str">
        <x:f>IF(F42="% HT",G42*$N$9/100/IF(OR(H42="",H42=0),1,H42/100),IF(F42="g/L",G42*$F$10/1000/IF(OR(H42="",H42=0),1,H42/100),IF(F42="kg",G42/IF(OR(H42="",H42=0),1,H42/100),IF(F42="mL/L",G42*$F$10/1000/IF(OR(H42="",H42=0),1,H42/100),""))))</x:f>
      </x:c>
      <x:c r="J42" s="15" t="str">
        <x:f>IF(OR(F42="% HT",F42="g/L",F42="kg"),"kg",IF(F42="mL/L","L",""))</x:f>
      </x:c>
      <x:c r="K42" s="60"/>
      <x:c r="L42" s="62" t="str">
        <x:f>IF(OR(I42="",K42=""),"",IF(I42=0,"",(K42-I42)/I42))</x:f>
      </x:c>
      <x:c r="M42" s="15"/>
      <x:c r="N42" s="15"/>
      <x:c r="O42" s="15"/>
      <x:c r="P42" s="15"/>
    </x:row>
    <x:row r="43" ht="22" customHeight="1">
      <x:c r="A43" s="15" t="n">
        <x:v>20</x:v>
      </x:c>
      <x:c r="B43" s="15"/>
      <x:c r="C43" s="15"/>
      <x:c r="D43" s="15"/>
      <x:c r="E43" s="15"/>
      <x:c r="F43" s="15"/>
      <x:c r="G43" s="15"/>
      <x:c r="H43" s="58"/>
      <x:c r="I43" s="60" t="str">
        <x:f>IF(F43="% HT",G43*$N$9/100/IF(OR(H43="",H43=0),1,H43/100),IF(F43="g/L",G43*$F$10/1000/IF(OR(H43="",H43=0),1,H43/100),IF(F43="kg",G43/IF(OR(H43="",H43=0),1,H43/100),IF(F43="mL/L",G43*$F$10/1000/IF(OR(H43="",H43=0),1,H43/100),""))))</x:f>
      </x:c>
      <x:c r="J43" s="15" t="str">
        <x:f>IF(OR(F43="% HT",F43="g/L",F43="kg"),"kg",IF(F43="mL/L","L",""))</x:f>
      </x:c>
      <x:c r="K43" s="60"/>
      <x:c r="L43" s="62" t="str">
        <x:f>IF(OR(I43="",K43=""),"",IF(I43=0,"",(K43-I43)/I43))</x:f>
      </x:c>
      <x:c r="M43" s="15"/>
      <x:c r="N43" s="15"/>
      <x:c r="O43" s="15"/>
      <x:c r="P43" s="15"/>
    </x:row>
    <x:row r="44" ht="22" customHeight="1">
      <x:c r="A44" s="46" t="str">
        <x:v>TOPLAM HESAPLANAN TİCARİ MİKTAR</x:v>
      </x:c>
      <x:c r="B44" s="46"/>
      <x:c r="C44" s="46"/>
      <x:c r="D44" s="46"/>
      <x:c r="E44" s="46"/>
      <x:c r="F44" s="46"/>
      <x:c r="G44" s="46"/>
      <x:c r="H44" s="46"/>
      <x:c r="I44" s="60" t="n">
        <x:f>SUMIF(J24:J43,"kg",I24:I43)</x:f>
        <x:v>0</x:v>
      </x:c>
      <x:c r="J44" s="60"/>
      <x:c r="K44" s="60"/>
      <x:c r="L44" s="46" t="str">
        <x:v>Toplam L</x:v>
      </x:c>
      <x:c r="M44" s="46"/>
      <x:c r="N44" s="60" t="n">
        <x:f>SUMIF(J24:J43,"L",I24:I43)</x:f>
        <x:v>0</x:v>
      </x:c>
      <x:c r="O44" s="60"/>
      <x:c r="P44" s="60"/>
    </x:row>
    <x:row r="45" ht="22" customHeight="1">
      <x:c r="A45" s="39" t="str">
        <x:v>4. LABORATUVAR VE İŞLETME DOĞRULAMA KONTROLLERİ</x:v>
      </x:c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</x:row>
    <x:row r="46" ht="22" customHeight="1">
      <x:c r="A46" s="6" t="str">
        <x:v>Kontrol Noktası</x:v>
      </x:c>
      <x:c r="B46" s="6" t="str"/>
      <x:c r="C46" s="6" t="str"/>
      <x:c r="D46" s="6" t="str"/>
      <x:c r="E46" s="6" t="str">
        <x:v>Hedef / Kriter</x:v>
      </x:c>
      <x:c r="F46" s="6" t="str"/>
      <x:c r="G46" s="6" t="str"/>
      <x:c r="H46" s="6" t="str">
        <x:v>Gerçek Sonuç</x:v>
      </x:c>
      <x:c r="I46" s="6" t="str"/>
      <x:c r="J46" s="6" t="str"/>
      <x:c r="K46" s="6" t="str">
        <x:v>Kontrol Sonucu</x:v>
      </x:c>
      <x:c r="L46" s="6" t="str"/>
      <x:c r="M46" s="6" t="str">
        <x:v>Kontrol Eden</x:v>
      </x:c>
      <x:c r="N46" s="6" t="str"/>
      <x:c r="O46" s="6" t="str">
        <x:v>Tarih / Saat</x:v>
      </x:c>
      <x:c r="P46" s="6" t="str"/>
    </x:row>
    <x:row r="47" ht="22" customHeight="1">
      <x:c r="A47" s="15" t="str">
        <x:v>Laboratuvar reçete hesabı</x:v>
      </x:c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</x:row>
    <x:row r="48" ht="22" customHeight="1">
      <x:c r="A48" s="15" t="str">
        <x:v>Boyarmadde uyumu ve kombinasyon</x:v>
      </x:c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</x:row>
    <x:row r="49" ht="22" customHeight="1">
      <x:c r="A49" s="15" t="str">
        <x:v>Kimyasal / boyarmadde lot kontrolü</x:v>
      </x:c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</x:row>
    <x:row r="50" ht="22" customHeight="1">
      <x:c r="A50" s="15" t="str">
        <x:v>Tartım ve çözündürme kontrolü</x:v>
      </x:c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</x:row>
    <x:row r="51" ht="22" customHeight="1">
      <x:c r="A51" s="15" t="str">
        <x:v>Dozaj sırası ve süre kontrolü</x:v>
      </x:c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</x:row>
    <x:row r="52" ht="22" customHeight="1">
      <x:c r="A52" s="15" t="str">
        <x:v>Proses parametreleri kontrolü</x:v>
      </x:c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</x:row>
    <x:row r="53" ht="22" customHeight="1">
      <x:c r="A53" s="15" t="str">
        <x:v>Numune ve renk onayı</x:v>
      </x:c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</x:row>
    <x:row r="54" ht="22" customHeight="1">
      <x:c r="A54" s="39" t="str">
        <x:v>5. REVİZYON GEÇMİŞİ</x:v>
      </x:c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</x:row>
    <x:row r="55" ht="22" customHeight="1">
      <x:c r="A55" s="6" t="str">
        <x:v>Revizyon</x:v>
      </x:c>
      <x:c r="B55" s="6" t="str">
        <x:v>Tarih</x:v>
      </x:c>
      <x:c r="C55" s="6" t="str">
        <x:v>Değişen Alan / Malzeme</x:v>
      </x:c>
      <x:c r="D55" s="6" t="str"/>
      <x:c r="E55" s="6" t="str"/>
      <x:c r="F55" s="6" t="str"/>
      <x:c r="G55" s="6" t="str">
        <x:v>Değişiklik Nedeni</x:v>
      </x:c>
      <x:c r="H55" s="6" t="str"/>
      <x:c r="I55" s="6" t="str"/>
      <x:c r="J55" s="6" t="str">
        <x:v>Hazırlayan</x:v>
      </x:c>
      <x:c r="K55" s="6" t="str"/>
      <x:c r="L55" s="6" t="str">
        <x:v>Onaylayan</x:v>
      </x:c>
      <x:c r="M55" s="6" t="str"/>
      <x:c r="N55" s="6" t="str">
        <x:v>Durum</x:v>
      </x:c>
      <x:c r="O55" s="6" t="str"/>
      <x:c r="P55" s="6" t="str">
        <x:v>Açıklama</x:v>
      </x:c>
    </x:row>
    <x:row r="56" ht="22" customHeight="1">
      <x:c r="A56" s="15"/>
      <x:c r="B56" s="50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</x:row>
    <x:row r="57" ht="22" customHeight="1">
      <x:c r="A57" s="15"/>
      <x:c r="B57" s="50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</x:row>
    <x:row r="58" ht="22" customHeight="1">
      <x:c r="A58" s="15"/>
      <x:c r="B58" s="50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</x:row>
    <x:row r="59" ht="22" customHeight="1">
      <x:c r="A59" s="15"/>
      <x:c r="B59" s="50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</x:row>
    <x:row r="60" ht="22" customHeight="1">
      <x:c r="A60" s="15"/>
      <x:c r="B60" s="50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</x:row>
    <x:row r="61" ht="22" customHeight="1"/>
    <x:row r="62" ht="22" customHeight="1">
      <x:c r="A62" s="39" t="str">
        <x:v>6. ONAY VE SERBEST BIRAKMA</x:v>
      </x:c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</x:row>
    <x:row r="63" ht="22" customHeight="1">
      <x:c r="A63" s="64" t="str">
        <x:v>Laboratuvar Hazırlayan</x:v>
      </x:c>
      <x:c r="B63" s="64"/>
      <x:c r="C63" s="64"/>
      <x:c r="D63" s="64"/>
      <x:c r="E63" s="64" t="str">
        <x:v>Laboratuvar Onayı</x:v>
      </x:c>
      <x:c r="F63" s="64"/>
      <x:c r="G63" s="64"/>
      <x:c r="H63" s="64"/>
      <x:c r="I63" s="64" t="str">
        <x:v>Proses Onayı</x:v>
      </x:c>
      <x:c r="J63" s="64"/>
      <x:c r="K63" s="64"/>
      <x:c r="L63" s="64"/>
      <x:c r="M63" s="64" t="str">
        <x:v>Boyahane / Serbest Bırakma</x:v>
      </x:c>
      <x:c r="N63" s="64"/>
      <x:c r="O63" s="64"/>
      <x:c r="P63" s="64"/>
    </x:row>
    <x:row r="64" ht="28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</x:row>
    <x:row r="65" ht="28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</x:row>
    <x:row r="66" ht="28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</x:row>
    <x:row r="67" ht="22" customHeight="1">
      <x:c r="A67" s="46" t="str">
        <x:v>Nihai Reçete Durumu</x:v>
      </x:c>
      <x:c r="B67" s="15"/>
      <x:c r="C67" s="15"/>
      <x:c r="D67" s="15"/>
      <x:c r="E67" s="15"/>
      <x:c r="F67" s="15"/>
      <x:c r="G67" s="46" t="str">
        <x:v>Serbest Bırakma Tarihi</x:v>
      </x:c>
      <x:c r="H67" s="50"/>
      <x:c r="I67" s="50"/>
      <x:c r="J67" s="50"/>
      <x:c r="K67" s="46" t="str">
        <x:v>Geçerlilik / Açıklama</x:v>
      </x:c>
      <x:c r="L67" s="15"/>
      <x:c r="M67" s="15"/>
      <x:c r="N67" s="15"/>
      <x:c r="O67" s="15"/>
      <x:c r="P67" s="15"/>
    </x:row>
    <x:row r="68" ht="22" customHeight="1"/>
    <x:row r="69" ht="22" customHeight="1">
      <x:c r="A69" s="68" t="str">
        <x:v>Bahri Budak Eğitim Notları • bahribudak.com • Reçete Formu Revizyonu: 2026-R1</x:v>
      </x:c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</x:row>
  </x:sheetData>
  <x:mergeCells>
    <x:mergeCell ref="A1:P2"/>
    <x:mergeCell ref="A3:P3"/>
    <x:mergeCell ref="A5:P5"/>
    <x:mergeCell ref="A13:P13"/>
    <x:mergeCell ref="A21:P21"/>
    <x:mergeCell ref="A45:P45"/>
    <x:mergeCell ref="A54:P54"/>
    <x:mergeCell ref="A62:P62"/>
    <x:mergeCell ref="B6:D6"/>
    <x:mergeCell ref="F6:H6"/>
    <x:mergeCell ref="J6:L6"/>
    <x:mergeCell ref="N6:P6"/>
    <x:mergeCell ref="B7:D7"/>
    <x:mergeCell ref="F7:H7"/>
    <x:mergeCell ref="J7:L7"/>
    <x:mergeCell ref="N7:P7"/>
    <x:mergeCell ref="B8:D8"/>
    <x:mergeCell ref="F8:H8"/>
    <x:mergeCell ref="J8:L8"/>
    <x:mergeCell ref="N8:P8"/>
    <x:mergeCell ref="B9:D9"/>
    <x:mergeCell ref="F9:H9"/>
    <x:mergeCell ref="J9:L9"/>
    <x:mergeCell ref="N9:P9"/>
    <x:mergeCell ref="B10:D10"/>
    <x:mergeCell ref="F10:H10"/>
    <x:mergeCell ref="J10:L10"/>
    <x:mergeCell ref="N10:P10"/>
    <x:mergeCell ref="B11:H11"/>
    <x:mergeCell ref="J11:P11"/>
    <x:mergeCell ref="B14:D14"/>
    <x:mergeCell ref="F14:H14"/>
    <x:mergeCell ref="J14:L14"/>
    <x:mergeCell ref="N14:P14"/>
    <x:mergeCell ref="B15:D15"/>
    <x:mergeCell ref="F15:H15"/>
    <x:mergeCell ref="J15:L15"/>
    <x:mergeCell ref="N15:P15"/>
    <x:mergeCell ref="B16:D16"/>
    <x:mergeCell ref="F16:H16"/>
    <x:mergeCell ref="J16:L16"/>
    <x:mergeCell ref="N16:P16"/>
    <x:mergeCell ref="B17:D17"/>
    <x:mergeCell ref="F17:H17"/>
    <x:mergeCell ref="J17:L17"/>
    <x:mergeCell ref="N17:P17"/>
    <x:mergeCell ref="B18:D18"/>
    <x:mergeCell ref="F18:H18"/>
    <x:mergeCell ref="J18:L18"/>
    <x:mergeCell ref="N18:P18"/>
    <x:mergeCell ref="B19:H19"/>
    <x:mergeCell ref="J19:P19"/>
    <x:mergeCell ref="A22:P22"/>
    <x:mergeCell ref="B23:D23"/>
    <x:mergeCell ref="B24:D24"/>
    <x:mergeCell ref="B25:D25"/>
    <x:mergeCell ref="B26:D26"/>
    <x:mergeCell ref="B27:D27"/>
    <x:mergeCell ref="B28:D28"/>
    <x:mergeCell ref="B29:D29"/>
    <x:mergeCell ref="B30:D30"/>
    <x:mergeCell ref="B31:D31"/>
    <x:mergeCell ref="B32:D32"/>
    <x:mergeCell ref="B33:D33"/>
    <x:mergeCell ref="B34:D34"/>
    <x:mergeCell ref="B35:D35"/>
    <x:mergeCell ref="B36:D36"/>
    <x:mergeCell ref="B37:D37"/>
    <x:mergeCell ref="B38:D38"/>
    <x:mergeCell ref="B39:D39"/>
    <x:mergeCell ref="B40:D40"/>
    <x:mergeCell ref="B41:D41"/>
    <x:mergeCell ref="B42:D42"/>
    <x:mergeCell ref="B43:D43"/>
    <x:mergeCell ref="A44:H44"/>
    <x:mergeCell ref="I44:K44"/>
    <x:mergeCell ref="L44:M44"/>
    <x:mergeCell ref="N44:P44"/>
    <x:mergeCell ref="A46:D46"/>
    <x:mergeCell ref="E46:G46"/>
    <x:mergeCell ref="H46:J46"/>
    <x:mergeCell ref="K46:L46"/>
    <x:mergeCell ref="M46:N46"/>
    <x:mergeCell ref="O46:P46"/>
    <x:mergeCell ref="A47:D47"/>
    <x:mergeCell ref="E47:G47"/>
    <x:mergeCell ref="H47:J47"/>
    <x:mergeCell ref="K47:L47"/>
    <x:mergeCell ref="M47:N47"/>
    <x:mergeCell ref="O47:P47"/>
    <x:mergeCell ref="A48:D48"/>
    <x:mergeCell ref="E48:G48"/>
    <x:mergeCell ref="H48:J48"/>
    <x:mergeCell ref="K48:L48"/>
    <x:mergeCell ref="M48:N48"/>
    <x:mergeCell ref="O48:P48"/>
    <x:mergeCell ref="A49:D49"/>
    <x:mergeCell ref="E49:G49"/>
    <x:mergeCell ref="H49:J49"/>
    <x:mergeCell ref="K49:L49"/>
    <x:mergeCell ref="M49:N49"/>
    <x:mergeCell ref="O49:P49"/>
    <x:mergeCell ref="A50:D50"/>
    <x:mergeCell ref="E50:G50"/>
    <x:mergeCell ref="H50:J50"/>
    <x:mergeCell ref="K50:L50"/>
    <x:mergeCell ref="M50:N50"/>
    <x:mergeCell ref="O50:P50"/>
    <x:mergeCell ref="A51:D51"/>
    <x:mergeCell ref="E51:G51"/>
    <x:mergeCell ref="H51:J51"/>
    <x:mergeCell ref="K51:L51"/>
    <x:mergeCell ref="M51:N51"/>
    <x:mergeCell ref="O51:P51"/>
    <x:mergeCell ref="A52:D52"/>
    <x:mergeCell ref="E52:G52"/>
    <x:mergeCell ref="H52:J52"/>
    <x:mergeCell ref="K52:L52"/>
    <x:mergeCell ref="M52:N52"/>
    <x:mergeCell ref="O52:P52"/>
    <x:mergeCell ref="A53:D53"/>
    <x:mergeCell ref="E53:G53"/>
    <x:mergeCell ref="H53:J53"/>
    <x:mergeCell ref="K53:L53"/>
    <x:mergeCell ref="M53:N53"/>
    <x:mergeCell ref="O53:P53"/>
    <x:mergeCell ref="C55:F55"/>
    <x:mergeCell ref="G55:I55"/>
    <x:mergeCell ref="J55:K55"/>
    <x:mergeCell ref="L55:M55"/>
    <x:mergeCell ref="N55:O55"/>
    <x:mergeCell ref="C56:F56"/>
    <x:mergeCell ref="G56:I56"/>
    <x:mergeCell ref="J56:K56"/>
    <x:mergeCell ref="L56:M56"/>
    <x:mergeCell ref="N56:O56"/>
    <x:mergeCell ref="C57:F57"/>
    <x:mergeCell ref="G57:I57"/>
    <x:mergeCell ref="J57:K57"/>
    <x:mergeCell ref="L57:M57"/>
    <x:mergeCell ref="N57:O57"/>
    <x:mergeCell ref="C58:F58"/>
    <x:mergeCell ref="G58:I58"/>
    <x:mergeCell ref="J58:K58"/>
    <x:mergeCell ref="L58:M58"/>
    <x:mergeCell ref="N58:O58"/>
    <x:mergeCell ref="C59:F59"/>
    <x:mergeCell ref="G59:I59"/>
    <x:mergeCell ref="J59:K59"/>
    <x:mergeCell ref="L59:M59"/>
    <x:mergeCell ref="N59:O59"/>
    <x:mergeCell ref="C60:F60"/>
    <x:mergeCell ref="G60:I60"/>
    <x:mergeCell ref="J60:K60"/>
    <x:mergeCell ref="L60:M60"/>
    <x:mergeCell ref="N60:O60"/>
    <x:mergeCell ref="A63:D63"/>
    <x:mergeCell ref="E63:H63"/>
    <x:mergeCell ref="I63:L63"/>
    <x:mergeCell ref="M63:P63"/>
    <x:mergeCell ref="A64:D66"/>
    <x:mergeCell ref="E64:H66"/>
    <x:mergeCell ref="I64:L66"/>
    <x:mergeCell ref="M64:P66"/>
    <x:mergeCell ref="B67:F67"/>
    <x:mergeCell ref="H67:J67"/>
    <x:mergeCell ref="L67:P67"/>
    <x:mergeCell ref="A69:P69"/>
  </x:mergeCells>
  <x:conditionalFormatting sqref="L24:L43">
    <x:cfRule type="cellIs" dxfId="0" priority="1" operator="greaterThan">
      <x:formula>0.02</x:formula>
    </x:cfRule>
    <x:cfRule type="cellIs" dxfId="1" priority="2" operator="lessThan">
      <x:formula>-0.02</x:formula>
    </x:cfRule>
  </x:conditionalFormatting>
  <x:dataValidations count="77">
    <x:dataValidation type="list" sqref="N6:P6">
      <x:formula1>Listeler!$E$2:$E$7</x:formula1>
    </x:dataValidation>
    <x:dataValidation type="list" sqref="N8:P8">
      <x:formula1>Listeler!$H$2:$H$4</x:formula1>
    </x:dataValidation>
    <x:dataValidation type="list" sqref="J9:L9">
      <x:formula1>Listeler!$B$2:$B$6</x:formula1>
    </x:dataValidation>
    <x:dataValidation type="list" sqref="B14:D14">
      <x:formula1>Listeler!$A$2:$A$10</x:formula1>
    </x:dataValidation>
    <x:dataValidation type="list" sqref="E24">
      <x:formula1>Listeler!$C$2:$C$9</x:formula1>
    </x:dataValidation>
    <x:dataValidation type="list" sqref="F24">
      <x:formula1>Listeler!$D$2:$D$5</x:formula1>
    </x:dataValidation>
    <x:dataValidation type="list" sqref="M24">
      <x:formula1>Listeler!$G$2:$G$10</x:formula1>
    </x:dataValidation>
    <x:dataValidation type="list" sqref="E25">
      <x:formula1>Listeler!$C$2:$C$9</x:formula1>
    </x:dataValidation>
    <x:dataValidation type="list" sqref="F25">
      <x:formula1>Listeler!$D$2:$D$5</x:formula1>
    </x:dataValidation>
    <x:dataValidation type="list" sqref="M25">
      <x:formula1>Listeler!$G$2:$G$10</x:formula1>
    </x:dataValidation>
    <x:dataValidation type="list" sqref="E26">
      <x:formula1>Listeler!$C$2:$C$9</x:formula1>
    </x:dataValidation>
    <x:dataValidation type="list" sqref="F26">
      <x:formula1>Listeler!$D$2:$D$5</x:formula1>
    </x:dataValidation>
    <x:dataValidation type="list" sqref="M26">
      <x:formula1>Listeler!$G$2:$G$10</x:formula1>
    </x:dataValidation>
    <x:dataValidation type="list" sqref="E27">
      <x:formula1>Listeler!$C$2:$C$9</x:formula1>
    </x:dataValidation>
    <x:dataValidation type="list" sqref="F27">
      <x:formula1>Listeler!$D$2:$D$5</x:formula1>
    </x:dataValidation>
    <x:dataValidation type="list" sqref="M27">
      <x:formula1>Listeler!$G$2:$G$10</x:formula1>
    </x:dataValidation>
    <x:dataValidation type="list" sqref="E28">
      <x:formula1>Listeler!$C$2:$C$9</x:formula1>
    </x:dataValidation>
    <x:dataValidation type="list" sqref="F28">
      <x:formula1>Listeler!$D$2:$D$5</x:formula1>
    </x:dataValidation>
    <x:dataValidation type="list" sqref="M28">
      <x:formula1>Listeler!$G$2:$G$10</x:formula1>
    </x:dataValidation>
    <x:dataValidation type="list" sqref="E29">
      <x:formula1>Listeler!$C$2:$C$9</x:formula1>
    </x:dataValidation>
    <x:dataValidation type="list" sqref="F29">
      <x:formula1>Listeler!$D$2:$D$5</x:formula1>
    </x:dataValidation>
    <x:dataValidation type="list" sqref="M29">
      <x:formula1>Listeler!$G$2:$G$10</x:formula1>
    </x:dataValidation>
    <x:dataValidation type="list" sqref="E30">
      <x:formula1>Listeler!$C$2:$C$9</x:formula1>
    </x:dataValidation>
    <x:dataValidation type="list" sqref="F30">
      <x:formula1>Listeler!$D$2:$D$5</x:formula1>
    </x:dataValidation>
    <x:dataValidation type="list" sqref="M30">
      <x:formula1>Listeler!$G$2:$G$10</x:formula1>
    </x:dataValidation>
    <x:dataValidation type="list" sqref="E31">
      <x:formula1>Listeler!$C$2:$C$9</x:formula1>
    </x:dataValidation>
    <x:dataValidation type="list" sqref="F31">
      <x:formula1>Listeler!$D$2:$D$5</x:formula1>
    </x:dataValidation>
    <x:dataValidation type="list" sqref="M31">
      <x:formula1>Listeler!$G$2:$G$10</x:formula1>
    </x:dataValidation>
    <x:dataValidation type="list" sqref="E32">
      <x:formula1>Listeler!$C$2:$C$9</x:formula1>
    </x:dataValidation>
    <x:dataValidation type="list" sqref="F32">
      <x:formula1>Listeler!$D$2:$D$5</x:formula1>
    </x:dataValidation>
    <x:dataValidation type="list" sqref="M32">
      <x:formula1>Listeler!$G$2:$G$10</x:formula1>
    </x:dataValidation>
    <x:dataValidation type="list" sqref="E33">
      <x:formula1>Listeler!$C$2:$C$9</x:formula1>
    </x:dataValidation>
    <x:dataValidation type="list" sqref="F33">
      <x:formula1>Listeler!$D$2:$D$5</x:formula1>
    </x:dataValidation>
    <x:dataValidation type="list" sqref="M33">
      <x:formula1>Listeler!$G$2:$G$10</x:formula1>
    </x:dataValidation>
    <x:dataValidation type="list" sqref="E34">
      <x:formula1>Listeler!$C$2:$C$9</x:formula1>
    </x:dataValidation>
    <x:dataValidation type="list" sqref="F34">
      <x:formula1>Listeler!$D$2:$D$5</x:formula1>
    </x:dataValidation>
    <x:dataValidation type="list" sqref="M34">
      <x:formula1>Listeler!$G$2:$G$10</x:formula1>
    </x:dataValidation>
    <x:dataValidation type="list" sqref="E35">
      <x:formula1>Listeler!$C$2:$C$9</x:formula1>
    </x:dataValidation>
    <x:dataValidation type="list" sqref="F35">
      <x:formula1>Listeler!$D$2:$D$5</x:formula1>
    </x:dataValidation>
    <x:dataValidation type="list" sqref="M35">
      <x:formula1>Listeler!$G$2:$G$10</x:formula1>
    </x:dataValidation>
    <x:dataValidation type="list" sqref="E36">
      <x:formula1>Listeler!$C$2:$C$9</x:formula1>
    </x:dataValidation>
    <x:dataValidation type="list" sqref="F36">
      <x:formula1>Listeler!$D$2:$D$5</x:formula1>
    </x:dataValidation>
    <x:dataValidation type="list" sqref="M36">
      <x:formula1>Listeler!$G$2:$G$10</x:formula1>
    </x:dataValidation>
    <x:dataValidation type="list" sqref="E37">
      <x:formula1>Listeler!$C$2:$C$9</x:formula1>
    </x:dataValidation>
    <x:dataValidation type="list" sqref="F37">
      <x:formula1>Listeler!$D$2:$D$5</x:formula1>
    </x:dataValidation>
    <x:dataValidation type="list" sqref="M37">
      <x:formula1>Listeler!$G$2:$G$10</x:formula1>
    </x:dataValidation>
    <x:dataValidation type="list" sqref="E38">
      <x:formula1>Listeler!$C$2:$C$9</x:formula1>
    </x:dataValidation>
    <x:dataValidation type="list" sqref="F38">
      <x:formula1>Listeler!$D$2:$D$5</x:formula1>
    </x:dataValidation>
    <x:dataValidation type="list" sqref="M38">
      <x:formula1>Listeler!$G$2:$G$10</x:formula1>
    </x:dataValidation>
    <x:dataValidation type="list" sqref="E39">
      <x:formula1>Listeler!$C$2:$C$9</x:formula1>
    </x:dataValidation>
    <x:dataValidation type="list" sqref="F39">
      <x:formula1>Listeler!$D$2:$D$5</x:formula1>
    </x:dataValidation>
    <x:dataValidation type="list" sqref="M39">
      <x:formula1>Listeler!$G$2:$G$10</x:formula1>
    </x:dataValidation>
    <x:dataValidation type="list" sqref="E40">
      <x:formula1>Listeler!$C$2:$C$9</x:formula1>
    </x:dataValidation>
    <x:dataValidation type="list" sqref="F40">
      <x:formula1>Listeler!$D$2:$D$5</x:formula1>
    </x:dataValidation>
    <x:dataValidation type="list" sqref="M40">
      <x:formula1>Listeler!$G$2:$G$10</x:formula1>
    </x:dataValidation>
    <x:dataValidation type="list" sqref="E41">
      <x:formula1>Listeler!$C$2:$C$9</x:formula1>
    </x:dataValidation>
    <x:dataValidation type="list" sqref="F41">
      <x:formula1>Listeler!$D$2:$D$5</x:formula1>
    </x:dataValidation>
    <x:dataValidation type="list" sqref="M41">
      <x:formula1>Listeler!$G$2:$G$10</x:formula1>
    </x:dataValidation>
    <x:dataValidation type="list" sqref="E42">
      <x:formula1>Listeler!$C$2:$C$9</x:formula1>
    </x:dataValidation>
    <x:dataValidation type="list" sqref="F42">
      <x:formula1>Listeler!$D$2:$D$5</x:formula1>
    </x:dataValidation>
    <x:dataValidation type="list" sqref="M42">
      <x:formula1>Listeler!$G$2:$G$10</x:formula1>
    </x:dataValidation>
    <x:dataValidation type="list" sqref="E43">
      <x:formula1>Listeler!$C$2:$C$9</x:formula1>
    </x:dataValidation>
    <x:dataValidation type="list" sqref="F43">
      <x:formula1>Listeler!$D$2:$D$5</x:formula1>
    </x:dataValidation>
    <x:dataValidation type="list" sqref="M43">
      <x:formula1>Listeler!$G$2:$G$10</x:formula1>
    </x:dataValidation>
    <x:dataValidation type="list" sqref="K47:L47">
      <x:formula1>Listeler!$F$2:$F$4</x:formula1>
    </x:dataValidation>
    <x:dataValidation type="list" sqref="K48:L48">
      <x:formula1>Listeler!$F$2:$F$4</x:formula1>
    </x:dataValidation>
    <x:dataValidation type="list" sqref="K49:L49">
      <x:formula1>Listeler!$F$2:$F$4</x:formula1>
    </x:dataValidation>
    <x:dataValidation type="list" sqref="K50:L50">
      <x:formula1>Listeler!$F$2:$F$4</x:formula1>
    </x:dataValidation>
    <x:dataValidation type="list" sqref="K51:L51">
      <x:formula1>Listeler!$F$2:$F$4</x:formula1>
    </x:dataValidation>
    <x:dataValidation type="list" sqref="K52:L52">
      <x:formula1>Listeler!$F$2:$F$4</x:formula1>
    </x:dataValidation>
    <x:dataValidation type="list" sqref="K53:L53">
      <x:formula1>Listeler!$F$2:$F$4</x:formula1>
    </x:dataValidation>
    <x:dataValidation type="list" sqref="N56:O56">
      <x:formula1>Listeler!$E$2:$E$7</x:formula1>
    </x:dataValidation>
    <x:dataValidation type="list" sqref="N57:O57">
      <x:formula1>Listeler!$E$2:$E$7</x:formula1>
    </x:dataValidation>
    <x:dataValidation type="list" sqref="N58:O58">
      <x:formula1>Listeler!$E$2:$E$7</x:formula1>
    </x:dataValidation>
    <x:dataValidation type="list" sqref="N59:O59">
      <x:formula1>Listeler!$E$2:$E$7</x:formula1>
    </x:dataValidation>
    <x:dataValidation type="list" sqref="N60:O60">
      <x:formula1>Listeler!$E$2:$E$7</x:formula1>
    </x:dataValidation>
    <x:dataValidation type="list" sqref="B67:F67">
      <x:formula1>Listeler!$E$2:$E$7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0" hidden="0" customWidth="1"/>
    <x:col min="4" max="4" width="20" hidden="0" customWidth="1"/>
    <x:col min="5" max="5" width="15" hidden="0" customWidth="1"/>
    <x:col min="6" max="6" width="14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0" hidden="0" customWidth="1"/>
    <x:col min="13" max="13" width="12" hidden="0" customWidth="1"/>
    <x:col min="14" max="14" width="26" hidden="0" customWidth="1"/>
    <x:col min="15" max="15" width="14" hidden="0" customWidth="1"/>
    <x:col min="16" max="16" width="14" hidden="0" customWidth="1"/>
    <x:col min="17" max="17" width="20" hidden="0" customWidth="1"/>
    <x:col min="18" max="18" width="18" hidden="0" customWidth="1"/>
    <x:col min="19" max="19" width="18" hidden="0" customWidth="1"/>
    <x:col min="20" max="20" width="24" hidden="0" customWidth="1"/>
    <x:col min="21" max="21" width="32" hidden="0" customWidth="1"/>
  </x:cols>
  <x:sheetData>
    <x:row r="1">
      <x:c r="A1" s="22" t="str">
        <x:v>REÇETE ARŞİVİ VE ONAY DURUMU TAKİBİ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</x:row>
    <x:row r="4">
      <x:c r="A4" s="64" t="str">
        <x:v>Toplam Reçete</x:v>
      </x:c>
      <x:c r="B4" s="64"/>
      <x:c r="C4" s="64"/>
      <x:c r="D4" s="64" t="str">
        <x:v>Serbest Bırakılan</x:v>
      </x:c>
      <x:c r="E4" s="64"/>
      <x:c r="F4" s="64"/>
      <x:c r="G4" s="64" t="str">
        <x:v>Onay Oranı</x:v>
      </x:c>
      <x:c r="H4" s="64"/>
      <x:c r="I4" s="64"/>
      <x:c r="J4" s="64" t="str">
        <x:v>Revizyon Gereken</x:v>
      </x:c>
      <x:c r="K4" s="64"/>
      <x:c r="L4" s="64"/>
      <x:c r="M4" s="64" t="str">
        <x:v>Toplam Hedef Parti (kg)</x:v>
      </x:c>
      <x:c r="N4" s="64"/>
      <x:c r="O4" s="64"/>
    </x:row>
    <x:row r="5">
      <x:c r="A5" s="74" t="n">
        <x:f>COUNTA(B9:B208)</x:f>
        <x:v>0</x:v>
      </x:c>
      <x:c r="B5" s="74"/>
      <x:c r="C5" s="74"/>
      <x:c r="D5" s="74" t="n">
        <x:f>COUNTIF(Q9:Q208,"Serbest Bırakıldı")</x:f>
        <x:v>0</x:v>
      </x:c>
      <x:c r="E5" s="74"/>
      <x:c r="F5" s="74"/>
      <x:c r="G5" s="78" t="n">
        <x:f>IFERROR(COUNTIF(Q9:Q208,"Serbest Bırakıldı")/COUNTA(B9:B208),0)</x:f>
        <x:v>0</x:v>
      </x:c>
      <x:c r="H5" s="78"/>
      <x:c r="I5" s="78"/>
      <x:c r="J5" s="74" t="n">
        <x:f>COUNTIF(Q9:Q208,"Revizyon Gerekli")</x:f>
        <x:v>0</x:v>
      </x:c>
      <x:c r="K5" s="74"/>
      <x:c r="L5" s="74"/>
      <x:c r="M5" s="74" t="n">
        <x:f>SUM(K9:K208)</x:f>
        <x:v>0</x:v>
      </x:c>
      <x:c r="N5" s="74"/>
      <x:c r="O5" s="74"/>
    </x:row>
    <x:row r="6">
      <x:c r="A6" s="74"/>
      <x:c r="B6" s="74"/>
      <x:c r="C6" s="74"/>
      <x:c r="D6" s="74"/>
      <x:c r="E6" s="74"/>
      <x:c r="F6" s="74"/>
      <x:c r="G6" s="78"/>
      <x:c r="H6" s="78"/>
      <x:c r="I6" s="78"/>
      <x:c r="J6" s="74"/>
      <x:c r="K6" s="74"/>
      <x:c r="L6" s="74"/>
      <x:c r="M6" s="74"/>
      <x:c r="N6" s="74"/>
      <x:c r="O6" s="74"/>
    </x:row>
    <x:row r="8" ht="22" customHeight="1">
      <x:c r="A8" s="6" t="str">
        <x:v>Tarih</x:v>
      </x:c>
      <x:c r="B8" s="6" t="str">
        <x:v>Reçete No</x:v>
      </x:c>
      <x:c r="C8" s="6" t="str">
        <x:v>Revizyon</x:v>
      </x:c>
      <x:c r="D8" s="6" t="str">
        <x:v>Müşteri</x:v>
      </x:c>
      <x:c r="E8" s="6" t="str">
        <x:v>Sipariş No</x:v>
      </x:c>
      <x:c r="F8" s="6" t="str">
        <x:v>Parti No</x:v>
      </x:c>
      <x:c r="G8" s="6" t="str">
        <x:v>Kumaş Cinsi</x:v>
      </x:c>
      <x:c r="H8" s="6" t="str">
        <x:v>Kompozisyon</x:v>
      </x:c>
      <x:c r="I8" s="6" t="str">
        <x:v>Renk</x:v>
      </x:c>
      <x:c r="J8" s="6" t="str">
        <x:v>Renk Grubu</x:v>
      </x:c>
      <x:c r="K8" s="6" t="str">
        <x:v>Hedef Parti kg</x:v>
      </x:c>
      <x:c r="L8" s="6" t="str">
        <x:v>Flotte</x:v>
      </x:c>
      <x:c r="M8" s="6" t="str">
        <x:v>Banyo L</x:v>
      </x:c>
      <x:c r="N8" s="6" t="str">
        <x:v>Proses Tipi</x:v>
      </x:c>
      <x:c r="O8" s="6" t="str">
        <x:v>Boyarmadde kg</x:v>
      </x:c>
      <x:c r="P8" s="6" t="str">
        <x:v>Kimyasal kg</x:v>
      </x:c>
      <x:c r="Q8" s="6" t="str">
        <x:v>Reçete Durumu</x:v>
      </x:c>
      <x:c r="R8" s="6" t="str">
        <x:v>Hazırlayan</x:v>
      </x:c>
      <x:c r="S8" s="6" t="str">
        <x:v>Onaylayan</x:v>
      </x:c>
      <x:c r="T8" s="6" t="str">
        <x:v>Revizyon Nedeni</x:v>
      </x:c>
      <x:c r="U8" s="6" t="str">
        <x:v>Açıklama</x:v>
      </x:c>
    </x:row>
    <x:row r="9" ht="22" customHeight="1">
      <x:c r="A9" s="50"/>
      <x:c r="B9" s="15"/>
      <x:c r="C9" s="15"/>
      <x:c r="D9" s="15"/>
      <x:c r="E9" s="15"/>
      <x:c r="F9" s="15"/>
      <x:c r="G9" s="15"/>
      <x:c r="H9" s="15"/>
      <x:c r="I9" s="15"/>
      <x:c r="J9" s="15"/>
      <x:c r="K9" s="58"/>
      <x:c r="L9" s="58"/>
      <x:c r="M9" s="58"/>
      <x:c r="N9" s="58"/>
      <x:c r="O9" s="58"/>
      <x:c r="P9" s="58"/>
      <x:c r="Q9" s="15"/>
      <x:c r="R9" s="15"/>
      <x:c r="S9" s="15"/>
      <x:c r="T9" s="15"/>
      <x:c r="U9" s="15"/>
    </x:row>
    <x:row r="10" ht="22" customHeight="1">
      <x:c r="A10" s="50"/>
      <x:c r="B10" s="15"/>
      <x:c r="C10" s="15"/>
      <x:c r="D10" s="15"/>
      <x:c r="E10" s="15"/>
      <x:c r="F10" s="15"/>
      <x:c r="G10" s="15"/>
      <x:c r="H10" s="15"/>
      <x:c r="I10" s="15"/>
      <x:c r="J10" s="15"/>
      <x:c r="K10" s="58"/>
      <x:c r="L10" s="58"/>
      <x:c r="M10" s="58"/>
      <x:c r="N10" s="58"/>
      <x:c r="O10" s="58"/>
      <x:c r="P10" s="58"/>
      <x:c r="Q10" s="15"/>
      <x:c r="R10" s="15"/>
      <x:c r="S10" s="15"/>
      <x:c r="T10" s="15"/>
      <x:c r="U10" s="15"/>
    </x:row>
    <x:row r="11" ht="22" customHeight="1">
      <x:c r="A11" s="50"/>
      <x:c r="B11" s="15"/>
      <x:c r="C11" s="15"/>
      <x:c r="D11" s="15"/>
      <x:c r="E11" s="15"/>
      <x:c r="F11" s="15"/>
      <x:c r="G11" s="15"/>
      <x:c r="H11" s="15"/>
      <x:c r="I11" s="15"/>
      <x:c r="J11" s="15"/>
      <x:c r="K11" s="58"/>
      <x:c r="L11" s="58"/>
      <x:c r="M11" s="58"/>
      <x:c r="N11" s="58"/>
      <x:c r="O11" s="58"/>
      <x:c r="P11" s="58"/>
      <x:c r="Q11" s="15"/>
      <x:c r="R11" s="15"/>
      <x:c r="S11" s="15"/>
      <x:c r="T11" s="15"/>
      <x:c r="U11" s="15"/>
    </x:row>
    <x:row r="12" ht="22" customHeight="1">
      <x:c r="A12" s="50"/>
      <x:c r="B12" s="15"/>
      <x:c r="C12" s="15"/>
      <x:c r="D12" s="15"/>
      <x:c r="E12" s="15"/>
      <x:c r="F12" s="15"/>
      <x:c r="G12" s="15"/>
      <x:c r="H12" s="15"/>
      <x:c r="I12" s="15"/>
      <x:c r="J12" s="15"/>
      <x:c r="K12" s="58"/>
      <x:c r="L12" s="58"/>
      <x:c r="M12" s="58"/>
      <x:c r="N12" s="58"/>
      <x:c r="O12" s="58"/>
      <x:c r="P12" s="58"/>
      <x:c r="Q12" s="15"/>
      <x:c r="R12" s="15"/>
      <x:c r="S12" s="15"/>
      <x:c r="T12" s="15"/>
      <x:c r="U12" s="15"/>
    </x:row>
    <x:row r="13" ht="22" customHeight="1">
      <x:c r="A13" s="50"/>
      <x:c r="B13" s="15"/>
      <x:c r="C13" s="15"/>
      <x:c r="D13" s="15"/>
      <x:c r="E13" s="15"/>
      <x:c r="F13" s="15"/>
      <x:c r="G13" s="15"/>
      <x:c r="H13" s="15"/>
      <x:c r="I13" s="15"/>
      <x:c r="J13" s="15"/>
      <x:c r="K13" s="58"/>
      <x:c r="L13" s="58"/>
      <x:c r="M13" s="58"/>
      <x:c r="N13" s="58"/>
      <x:c r="O13" s="58"/>
      <x:c r="P13" s="58"/>
      <x:c r="Q13" s="15"/>
      <x:c r="R13" s="15"/>
      <x:c r="S13" s="15"/>
      <x:c r="T13" s="15"/>
      <x:c r="U13" s="15"/>
    </x:row>
    <x:row r="14" ht="22" customHeight="1">
      <x:c r="A14" s="50"/>
      <x:c r="B14" s="15"/>
      <x:c r="C14" s="15"/>
      <x:c r="D14" s="15"/>
      <x:c r="E14" s="15"/>
      <x:c r="F14" s="15"/>
      <x:c r="G14" s="15"/>
      <x:c r="H14" s="15"/>
      <x:c r="I14" s="15"/>
      <x:c r="J14" s="15"/>
      <x:c r="K14" s="58"/>
      <x:c r="L14" s="58"/>
      <x:c r="M14" s="58"/>
      <x:c r="N14" s="58"/>
      <x:c r="O14" s="58"/>
      <x:c r="P14" s="58"/>
      <x:c r="Q14" s="15"/>
      <x:c r="R14" s="15"/>
      <x:c r="S14" s="15"/>
      <x:c r="T14" s="15"/>
      <x:c r="U14" s="15"/>
    </x:row>
    <x:row r="15" ht="22" customHeight="1">
      <x:c r="A15" s="50"/>
      <x:c r="B15" s="15"/>
      <x:c r="C15" s="15"/>
      <x:c r="D15" s="15"/>
      <x:c r="E15" s="15"/>
      <x:c r="F15" s="15"/>
      <x:c r="G15" s="15"/>
      <x:c r="H15" s="15"/>
      <x:c r="I15" s="15"/>
      <x:c r="J15" s="15"/>
      <x:c r="K15" s="58"/>
      <x:c r="L15" s="58"/>
      <x:c r="M15" s="58"/>
      <x:c r="N15" s="58"/>
      <x:c r="O15" s="58"/>
      <x:c r="P15" s="58"/>
      <x:c r="Q15" s="15"/>
      <x:c r="R15" s="15"/>
      <x:c r="S15" s="15"/>
      <x:c r="T15" s="15"/>
      <x:c r="U15" s="15"/>
    </x:row>
    <x:row r="16" ht="22" customHeight="1">
      <x:c r="A16" s="50"/>
      <x:c r="B16" s="15"/>
      <x:c r="C16" s="15"/>
      <x:c r="D16" s="15"/>
      <x:c r="E16" s="15"/>
      <x:c r="F16" s="15"/>
      <x:c r="G16" s="15"/>
      <x:c r="H16" s="15"/>
      <x:c r="I16" s="15"/>
      <x:c r="J16" s="15"/>
      <x:c r="K16" s="58"/>
      <x:c r="L16" s="58"/>
      <x:c r="M16" s="58"/>
      <x:c r="N16" s="58"/>
      <x:c r="O16" s="58"/>
      <x:c r="P16" s="58"/>
      <x:c r="Q16" s="15"/>
      <x:c r="R16" s="15"/>
      <x:c r="S16" s="15"/>
      <x:c r="T16" s="15"/>
      <x:c r="U16" s="15"/>
    </x:row>
    <x:row r="17" ht="22" customHeight="1">
      <x:c r="A17" s="50"/>
      <x:c r="B17" s="15"/>
      <x:c r="C17" s="15"/>
      <x:c r="D17" s="15"/>
      <x:c r="E17" s="15"/>
      <x:c r="F17" s="15"/>
      <x:c r="G17" s="15"/>
      <x:c r="H17" s="15"/>
      <x:c r="I17" s="15"/>
      <x:c r="J17" s="15"/>
      <x:c r="K17" s="58"/>
      <x:c r="L17" s="58"/>
      <x:c r="M17" s="58"/>
      <x:c r="N17" s="58"/>
      <x:c r="O17" s="58"/>
      <x:c r="P17" s="58"/>
      <x:c r="Q17" s="15"/>
      <x:c r="R17" s="15"/>
      <x:c r="S17" s="15"/>
      <x:c r="T17" s="15"/>
      <x:c r="U17" s="15"/>
    </x:row>
    <x:row r="18" ht="22" customHeight="1">
      <x:c r="A18" s="50"/>
      <x:c r="B18" s="15"/>
      <x:c r="C18" s="15"/>
      <x:c r="D18" s="15"/>
      <x:c r="E18" s="15"/>
      <x:c r="F18" s="15"/>
      <x:c r="G18" s="15"/>
      <x:c r="H18" s="15"/>
      <x:c r="I18" s="15"/>
      <x:c r="J18" s="15"/>
      <x:c r="K18" s="58"/>
      <x:c r="L18" s="58"/>
      <x:c r="M18" s="58"/>
      <x:c r="N18" s="58"/>
      <x:c r="O18" s="58"/>
      <x:c r="P18" s="58"/>
      <x:c r="Q18" s="15"/>
      <x:c r="R18" s="15"/>
      <x:c r="S18" s="15"/>
      <x:c r="T18" s="15"/>
      <x:c r="U18" s="15"/>
    </x:row>
    <x:row r="19" ht="22" customHeight="1">
      <x:c r="A19" s="50"/>
      <x:c r="B19" s="15"/>
      <x:c r="C19" s="15"/>
      <x:c r="D19" s="15"/>
      <x:c r="E19" s="15"/>
      <x:c r="F19" s="15"/>
      <x:c r="G19" s="15"/>
      <x:c r="H19" s="15"/>
      <x:c r="I19" s="15"/>
      <x:c r="J19" s="15"/>
      <x:c r="K19" s="58"/>
      <x:c r="L19" s="58"/>
      <x:c r="M19" s="58"/>
      <x:c r="N19" s="58"/>
      <x:c r="O19" s="58"/>
      <x:c r="P19" s="58"/>
      <x:c r="Q19" s="15"/>
      <x:c r="R19" s="15"/>
      <x:c r="S19" s="15"/>
      <x:c r="T19" s="15"/>
      <x:c r="U19" s="15"/>
    </x:row>
    <x:row r="20" ht="22" customHeight="1">
      <x:c r="A20" s="50"/>
      <x:c r="B20" s="15"/>
      <x:c r="C20" s="15"/>
      <x:c r="D20" s="15"/>
      <x:c r="E20" s="15"/>
      <x:c r="F20" s="15"/>
      <x:c r="G20" s="15"/>
      <x:c r="H20" s="15"/>
      <x:c r="I20" s="15"/>
      <x:c r="J20" s="15"/>
      <x:c r="K20" s="58"/>
      <x:c r="L20" s="58"/>
      <x:c r="M20" s="58"/>
      <x:c r="N20" s="58"/>
      <x:c r="O20" s="58"/>
      <x:c r="P20" s="58"/>
      <x:c r="Q20" s="15"/>
      <x:c r="R20" s="15"/>
      <x:c r="S20" s="15"/>
      <x:c r="T20" s="15"/>
      <x:c r="U20" s="15"/>
    </x:row>
    <x:row r="21" ht="22" customHeight="1">
      <x:c r="A21" s="50"/>
      <x:c r="B21" s="15"/>
      <x:c r="C21" s="15"/>
      <x:c r="D21" s="15"/>
      <x:c r="E21" s="15"/>
      <x:c r="F21" s="15"/>
      <x:c r="G21" s="15"/>
      <x:c r="H21" s="15"/>
      <x:c r="I21" s="15"/>
      <x:c r="J21" s="15"/>
      <x:c r="K21" s="58"/>
      <x:c r="L21" s="58"/>
      <x:c r="M21" s="58"/>
      <x:c r="N21" s="58"/>
      <x:c r="O21" s="58"/>
      <x:c r="P21" s="58"/>
      <x:c r="Q21" s="15"/>
      <x:c r="R21" s="15"/>
      <x:c r="S21" s="15"/>
      <x:c r="T21" s="15"/>
      <x:c r="U21" s="15"/>
    </x:row>
    <x:row r="22" ht="22" customHeight="1">
      <x:c r="A22" s="50"/>
      <x:c r="B22" s="15"/>
      <x:c r="C22" s="15"/>
      <x:c r="D22" s="15"/>
      <x:c r="E22" s="15"/>
      <x:c r="F22" s="15"/>
      <x:c r="G22" s="15"/>
      <x:c r="H22" s="15"/>
      <x:c r="I22" s="15"/>
      <x:c r="J22" s="15"/>
      <x:c r="K22" s="58"/>
      <x:c r="L22" s="58"/>
      <x:c r="M22" s="58"/>
      <x:c r="N22" s="58"/>
      <x:c r="O22" s="58"/>
      <x:c r="P22" s="58"/>
      <x:c r="Q22" s="15"/>
      <x:c r="R22" s="15"/>
      <x:c r="S22" s="15"/>
      <x:c r="T22" s="15"/>
      <x:c r="U22" s="15"/>
    </x:row>
    <x:row r="23" ht="22" customHeight="1">
      <x:c r="A23" s="50"/>
      <x:c r="B23" s="15"/>
      <x:c r="C23" s="15"/>
      <x:c r="D23" s="15"/>
      <x:c r="E23" s="15"/>
      <x:c r="F23" s="15"/>
      <x:c r="G23" s="15"/>
      <x:c r="H23" s="15"/>
      <x:c r="I23" s="15"/>
      <x:c r="J23" s="15"/>
      <x:c r="K23" s="58"/>
      <x:c r="L23" s="58"/>
      <x:c r="M23" s="58"/>
      <x:c r="N23" s="58"/>
      <x:c r="O23" s="58"/>
      <x:c r="P23" s="58"/>
      <x:c r="Q23" s="15"/>
      <x:c r="R23" s="15"/>
      <x:c r="S23" s="15"/>
      <x:c r="T23" s="15"/>
      <x:c r="U23" s="15"/>
    </x:row>
    <x:row r="24" ht="22" customHeight="1">
      <x:c r="A24" s="50"/>
      <x:c r="B24" s="15"/>
      <x:c r="C24" s="15"/>
      <x:c r="D24" s="15"/>
      <x:c r="E24" s="15"/>
      <x:c r="F24" s="15"/>
      <x:c r="G24" s="15"/>
      <x:c r="H24" s="15"/>
      <x:c r="I24" s="15"/>
      <x:c r="J24" s="15"/>
      <x:c r="K24" s="58"/>
      <x:c r="L24" s="58"/>
      <x:c r="M24" s="58"/>
      <x:c r="N24" s="58"/>
      <x:c r="O24" s="58"/>
      <x:c r="P24" s="58"/>
      <x:c r="Q24" s="15"/>
      <x:c r="R24" s="15"/>
      <x:c r="S24" s="15"/>
      <x:c r="T24" s="15"/>
      <x:c r="U24" s="15"/>
    </x:row>
    <x:row r="25" ht="22" customHeight="1">
      <x:c r="A25" s="50"/>
      <x:c r="B25" s="15"/>
      <x:c r="C25" s="15"/>
      <x:c r="D25" s="15"/>
      <x:c r="E25" s="15"/>
      <x:c r="F25" s="15"/>
      <x:c r="G25" s="15"/>
      <x:c r="H25" s="15"/>
      <x:c r="I25" s="15"/>
      <x:c r="J25" s="15"/>
      <x:c r="K25" s="58"/>
      <x:c r="L25" s="58"/>
      <x:c r="M25" s="58"/>
      <x:c r="N25" s="58"/>
      <x:c r="O25" s="58"/>
      <x:c r="P25" s="58"/>
      <x:c r="Q25" s="15"/>
      <x:c r="R25" s="15"/>
      <x:c r="S25" s="15"/>
      <x:c r="T25" s="15"/>
      <x:c r="U25" s="15"/>
    </x:row>
    <x:row r="26" ht="22" customHeight="1">
      <x:c r="A26" s="50"/>
      <x:c r="B26" s="15"/>
      <x:c r="C26" s="15"/>
      <x:c r="D26" s="15"/>
      <x:c r="E26" s="15"/>
      <x:c r="F26" s="15"/>
      <x:c r="G26" s="15"/>
      <x:c r="H26" s="15"/>
      <x:c r="I26" s="15"/>
      <x:c r="J26" s="15"/>
      <x:c r="K26" s="58"/>
      <x:c r="L26" s="58"/>
      <x:c r="M26" s="58"/>
      <x:c r="N26" s="58"/>
      <x:c r="O26" s="58"/>
      <x:c r="P26" s="58"/>
      <x:c r="Q26" s="15"/>
      <x:c r="R26" s="15"/>
      <x:c r="S26" s="15"/>
      <x:c r="T26" s="15"/>
      <x:c r="U26" s="15"/>
    </x:row>
    <x:row r="27" ht="22" customHeight="1">
      <x:c r="A27" s="50"/>
      <x:c r="B27" s="15"/>
      <x:c r="C27" s="15"/>
      <x:c r="D27" s="15"/>
      <x:c r="E27" s="15"/>
      <x:c r="F27" s="15"/>
      <x:c r="G27" s="15"/>
      <x:c r="H27" s="15"/>
      <x:c r="I27" s="15"/>
      <x:c r="J27" s="15"/>
      <x:c r="K27" s="58"/>
      <x:c r="L27" s="58"/>
      <x:c r="M27" s="58"/>
      <x:c r="N27" s="58"/>
      <x:c r="O27" s="58"/>
      <x:c r="P27" s="58"/>
      <x:c r="Q27" s="15"/>
      <x:c r="R27" s="15"/>
      <x:c r="S27" s="15"/>
      <x:c r="T27" s="15"/>
      <x:c r="U27" s="15"/>
    </x:row>
    <x:row r="28" ht="22" customHeight="1">
      <x:c r="A28" s="50"/>
      <x:c r="B28" s="15"/>
      <x:c r="C28" s="15"/>
      <x:c r="D28" s="15"/>
      <x:c r="E28" s="15"/>
      <x:c r="F28" s="15"/>
      <x:c r="G28" s="15"/>
      <x:c r="H28" s="15"/>
      <x:c r="I28" s="15"/>
      <x:c r="J28" s="15"/>
      <x:c r="K28" s="58"/>
      <x:c r="L28" s="58"/>
      <x:c r="M28" s="58"/>
      <x:c r="N28" s="58"/>
      <x:c r="O28" s="58"/>
      <x:c r="P28" s="58"/>
      <x:c r="Q28" s="15"/>
      <x:c r="R28" s="15"/>
      <x:c r="S28" s="15"/>
      <x:c r="T28" s="15"/>
      <x:c r="U28" s="15"/>
    </x:row>
    <x:row r="29" ht="22" customHeight="1">
      <x:c r="A29" s="50"/>
      <x:c r="B29" s="15"/>
      <x:c r="C29" s="15"/>
      <x:c r="D29" s="15"/>
      <x:c r="E29" s="15"/>
      <x:c r="F29" s="15"/>
      <x:c r="G29" s="15"/>
      <x:c r="H29" s="15"/>
      <x:c r="I29" s="15"/>
      <x:c r="J29" s="15"/>
      <x:c r="K29" s="58"/>
      <x:c r="L29" s="58"/>
      <x:c r="M29" s="58"/>
      <x:c r="N29" s="58"/>
      <x:c r="O29" s="58"/>
      <x:c r="P29" s="58"/>
      <x:c r="Q29" s="15"/>
      <x:c r="R29" s="15"/>
      <x:c r="S29" s="15"/>
      <x:c r="T29" s="15"/>
      <x:c r="U29" s="15"/>
    </x:row>
    <x:row r="30" ht="22" customHeight="1">
      <x:c r="A30" s="50"/>
      <x:c r="B30" s="15"/>
      <x:c r="C30" s="15"/>
      <x:c r="D30" s="15"/>
      <x:c r="E30" s="15"/>
      <x:c r="F30" s="15"/>
      <x:c r="G30" s="15"/>
      <x:c r="H30" s="15"/>
      <x:c r="I30" s="15"/>
      <x:c r="J30" s="15"/>
      <x:c r="K30" s="58"/>
      <x:c r="L30" s="58"/>
      <x:c r="M30" s="58"/>
      <x:c r="N30" s="58"/>
      <x:c r="O30" s="58"/>
      <x:c r="P30" s="58"/>
      <x:c r="Q30" s="15"/>
      <x:c r="R30" s="15"/>
      <x:c r="S30" s="15"/>
      <x:c r="T30" s="15"/>
      <x:c r="U30" s="15"/>
    </x:row>
    <x:row r="31" ht="22" customHeight="1">
      <x:c r="A31" s="50"/>
      <x:c r="B31" s="15"/>
      <x:c r="C31" s="15"/>
      <x:c r="D31" s="15"/>
      <x:c r="E31" s="15"/>
      <x:c r="F31" s="15"/>
      <x:c r="G31" s="15"/>
      <x:c r="H31" s="15"/>
      <x:c r="I31" s="15"/>
      <x:c r="J31" s="15"/>
      <x:c r="K31" s="58"/>
      <x:c r="L31" s="58"/>
      <x:c r="M31" s="58"/>
      <x:c r="N31" s="58"/>
      <x:c r="O31" s="58"/>
      <x:c r="P31" s="58"/>
      <x:c r="Q31" s="15"/>
      <x:c r="R31" s="15"/>
      <x:c r="S31" s="15"/>
      <x:c r="T31" s="15"/>
      <x:c r="U31" s="15"/>
    </x:row>
    <x:row r="32" ht="22" customHeight="1">
      <x:c r="A32" s="50"/>
      <x:c r="B32" s="15"/>
      <x:c r="C32" s="15"/>
      <x:c r="D32" s="15"/>
      <x:c r="E32" s="15"/>
      <x:c r="F32" s="15"/>
      <x:c r="G32" s="15"/>
      <x:c r="H32" s="15"/>
      <x:c r="I32" s="15"/>
      <x:c r="J32" s="15"/>
      <x:c r="K32" s="58"/>
      <x:c r="L32" s="58"/>
      <x:c r="M32" s="58"/>
      <x:c r="N32" s="58"/>
      <x:c r="O32" s="58"/>
      <x:c r="P32" s="58"/>
      <x:c r="Q32" s="15"/>
      <x:c r="R32" s="15"/>
      <x:c r="S32" s="15"/>
      <x:c r="T32" s="15"/>
      <x:c r="U32" s="15"/>
    </x:row>
    <x:row r="33" ht="22" customHeight="1">
      <x:c r="A33" s="50"/>
      <x:c r="B33" s="15"/>
      <x:c r="C33" s="15"/>
      <x:c r="D33" s="15"/>
      <x:c r="E33" s="15"/>
      <x:c r="F33" s="15"/>
      <x:c r="G33" s="15"/>
      <x:c r="H33" s="15"/>
      <x:c r="I33" s="15"/>
      <x:c r="J33" s="15"/>
      <x:c r="K33" s="58"/>
      <x:c r="L33" s="58"/>
      <x:c r="M33" s="58"/>
      <x:c r="N33" s="58"/>
      <x:c r="O33" s="58"/>
      <x:c r="P33" s="58"/>
      <x:c r="Q33" s="15"/>
      <x:c r="R33" s="15"/>
      <x:c r="S33" s="15"/>
      <x:c r="T33" s="15"/>
      <x:c r="U33" s="15"/>
    </x:row>
    <x:row r="34" ht="22" customHeight="1">
      <x:c r="A34" s="50"/>
      <x:c r="B34" s="15"/>
      <x:c r="C34" s="15"/>
      <x:c r="D34" s="15"/>
      <x:c r="E34" s="15"/>
      <x:c r="F34" s="15"/>
      <x:c r="G34" s="15"/>
      <x:c r="H34" s="15"/>
      <x:c r="I34" s="15"/>
      <x:c r="J34" s="15"/>
      <x:c r="K34" s="58"/>
      <x:c r="L34" s="58"/>
      <x:c r="M34" s="58"/>
      <x:c r="N34" s="58"/>
      <x:c r="O34" s="58"/>
      <x:c r="P34" s="58"/>
      <x:c r="Q34" s="15"/>
      <x:c r="R34" s="15"/>
      <x:c r="S34" s="15"/>
      <x:c r="T34" s="15"/>
      <x:c r="U34" s="15"/>
    </x:row>
    <x:row r="35" ht="22" customHeight="1">
      <x:c r="A35" s="50"/>
      <x:c r="B35" s="15"/>
      <x:c r="C35" s="15"/>
      <x:c r="D35" s="15"/>
      <x:c r="E35" s="15"/>
      <x:c r="F35" s="15"/>
      <x:c r="G35" s="15"/>
      <x:c r="H35" s="15"/>
      <x:c r="I35" s="15"/>
      <x:c r="J35" s="15"/>
      <x:c r="K35" s="58"/>
      <x:c r="L35" s="58"/>
      <x:c r="M35" s="58"/>
      <x:c r="N35" s="58"/>
      <x:c r="O35" s="58"/>
      <x:c r="P35" s="58"/>
      <x:c r="Q35" s="15"/>
      <x:c r="R35" s="15"/>
      <x:c r="S35" s="15"/>
      <x:c r="T35" s="15"/>
      <x:c r="U35" s="15"/>
    </x:row>
    <x:row r="36" ht="22" customHeight="1">
      <x:c r="A36" s="50"/>
      <x:c r="B36" s="15"/>
      <x:c r="C36" s="15"/>
      <x:c r="D36" s="15"/>
      <x:c r="E36" s="15"/>
      <x:c r="F36" s="15"/>
      <x:c r="G36" s="15"/>
      <x:c r="H36" s="15"/>
      <x:c r="I36" s="15"/>
      <x:c r="J36" s="15"/>
      <x:c r="K36" s="58"/>
      <x:c r="L36" s="58"/>
      <x:c r="M36" s="58"/>
      <x:c r="N36" s="58"/>
      <x:c r="O36" s="58"/>
      <x:c r="P36" s="58"/>
      <x:c r="Q36" s="15"/>
      <x:c r="R36" s="15"/>
      <x:c r="S36" s="15"/>
      <x:c r="T36" s="15"/>
      <x:c r="U36" s="15"/>
    </x:row>
    <x:row r="37" ht="22" customHeight="1">
      <x:c r="A37" s="50"/>
      <x:c r="B37" s="15"/>
      <x:c r="C37" s="15"/>
      <x:c r="D37" s="15"/>
      <x:c r="E37" s="15"/>
      <x:c r="F37" s="15"/>
      <x:c r="G37" s="15"/>
      <x:c r="H37" s="15"/>
      <x:c r="I37" s="15"/>
      <x:c r="J37" s="15"/>
      <x:c r="K37" s="58"/>
      <x:c r="L37" s="58"/>
      <x:c r="M37" s="58"/>
      <x:c r="N37" s="58"/>
      <x:c r="O37" s="58"/>
      <x:c r="P37" s="58"/>
      <x:c r="Q37" s="15"/>
      <x:c r="R37" s="15"/>
      <x:c r="S37" s="15"/>
      <x:c r="T37" s="15"/>
      <x:c r="U37" s="15"/>
    </x:row>
    <x:row r="38" ht="22" customHeight="1">
      <x:c r="A38" s="50"/>
      <x:c r="B38" s="15"/>
      <x:c r="C38" s="15"/>
      <x:c r="D38" s="15"/>
      <x:c r="E38" s="15"/>
      <x:c r="F38" s="15"/>
      <x:c r="G38" s="15"/>
      <x:c r="H38" s="15"/>
      <x:c r="I38" s="15"/>
      <x:c r="J38" s="15"/>
      <x:c r="K38" s="58"/>
      <x:c r="L38" s="58"/>
      <x:c r="M38" s="58"/>
      <x:c r="N38" s="58"/>
      <x:c r="O38" s="58"/>
      <x:c r="P38" s="58"/>
      <x:c r="Q38" s="15"/>
      <x:c r="R38" s="15"/>
      <x:c r="S38" s="15"/>
      <x:c r="T38" s="15"/>
      <x:c r="U38" s="15"/>
    </x:row>
    <x:row r="39" ht="22" customHeight="1">
      <x:c r="A39" s="50"/>
      <x:c r="B39" s="15"/>
      <x:c r="C39" s="15"/>
      <x:c r="D39" s="15"/>
      <x:c r="E39" s="15"/>
      <x:c r="F39" s="15"/>
      <x:c r="G39" s="15"/>
      <x:c r="H39" s="15"/>
      <x:c r="I39" s="15"/>
      <x:c r="J39" s="15"/>
      <x:c r="K39" s="58"/>
      <x:c r="L39" s="58"/>
      <x:c r="M39" s="58"/>
      <x:c r="N39" s="58"/>
      <x:c r="O39" s="58"/>
      <x:c r="P39" s="58"/>
      <x:c r="Q39" s="15"/>
      <x:c r="R39" s="15"/>
      <x:c r="S39" s="15"/>
      <x:c r="T39" s="15"/>
      <x:c r="U39" s="15"/>
    </x:row>
    <x:row r="40" ht="22" customHeight="1">
      <x:c r="A40" s="50"/>
      <x:c r="B40" s="15"/>
      <x:c r="C40" s="15"/>
      <x:c r="D40" s="15"/>
      <x:c r="E40" s="15"/>
      <x:c r="F40" s="15"/>
      <x:c r="G40" s="15"/>
      <x:c r="H40" s="15"/>
      <x:c r="I40" s="15"/>
      <x:c r="J40" s="15"/>
      <x:c r="K40" s="58"/>
      <x:c r="L40" s="58"/>
      <x:c r="M40" s="58"/>
      <x:c r="N40" s="58"/>
      <x:c r="O40" s="58"/>
      <x:c r="P40" s="58"/>
      <x:c r="Q40" s="15"/>
      <x:c r="R40" s="15"/>
      <x:c r="S40" s="15"/>
      <x:c r="T40" s="15"/>
      <x:c r="U40" s="15"/>
    </x:row>
    <x:row r="41" ht="22" customHeight="1">
      <x:c r="A41" s="50"/>
      <x:c r="B41" s="15"/>
      <x:c r="C41" s="15"/>
      <x:c r="D41" s="15"/>
      <x:c r="E41" s="15"/>
      <x:c r="F41" s="15"/>
      <x:c r="G41" s="15"/>
      <x:c r="H41" s="15"/>
      <x:c r="I41" s="15"/>
      <x:c r="J41" s="15"/>
      <x:c r="K41" s="58"/>
      <x:c r="L41" s="58"/>
      <x:c r="M41" s="58"/>
      <x:c r="N41" s="58"/>
      <x:c r="O41" s="58"/>
      <x:c r="P41" s="58"/>
      <x:c r="Q41" s="15"/>
      <x:c r="R41" s="15"/>
      <x:c r="S41" s="15"/>
      <x:c r="T41" s="15"/>
      <x:c r="U41" s="15"/>
    </x:row>
    <x:row r="42" ht="22" customHeight="1">
      <x:c r="A42" s="50"/>
      <x:c r="B42" s="15"/>
      <x:c r="C42" s="15"/>
      <x:c r="D42" s="15"/>
      <x:c r="E42" s="15"/>
      <x:c r="F42" s="15"/>
      <x:c r="G42" s="15"/>
      <x:c r="H42" s="15"/>
      <x:c r="I42" s="15"/>
      <x:c r="J42" s="15"/>
      <x:c r="K42" s="58"/>
      <x:c r="L42" s="58"/>
      <x:c r="M42" s="58"/>
      <x:c r="N42" s="58"/>
      <x:c r="O42" s="58"/>
      <x:c r="P42" s="58"/>
      <x:c r="Q42" s="15"/>
      <x:c r="R42" s="15"/>
      <x:c r="S42" s="15"/>
      <x:c r="T42" s="15"/>
      <x:c r="U42" s="15"/>
    </x:row>
    <x:row r="43" ht="22" customHeight="1">
      <x:c r="A43" s="50"/>
      <x:c r="B43" s="15"/>
      <x:c r="C43" s="15"/>
      <x:c r="D43" s="15"/>
      <x:c r="E43" s="15"/>
      <x:c r="F43" s="15"/>
      <x:c r="G43" s="15"/>
      <x:c r="H43" s="15"/>
      <x:c r="I43" s="15"/>
      <x:c r="J43" s="15"/>
      <x:c r="K43" s="58"/>
      <x:c r="L43" s="58"/>
      <x:c r="M43" s="58"/>
      <x:c r="N43" s="58"/>
      <x:c r="O43" s="58"/>
      <x:c r="P43" s="58"/>
      <x:c r="Q43" s="15"/>
      <x:c r="R43" s="15"/>
      <x:c r="S43" s="15"/>
      <x:c r="T43" s="15"/>
      <x:c r="U43" s="15"/>
    </x:row>
    <x:row r="44" ht="22" customHeight="1">
      <x:c r="A44" s="50"/>
      <x:c r="B44" s="15"/>
      <x:c r="C44" s="15"/>
      <x:c r="D44" s="15"/>
      <x:c r="E44" s="15"/>
      <x:c r="F44" s="15"/>
      <x:c r="G44" s="15"/>
      <x:c r="H44" s="15"/>
      <x:c r="I44" s="15"/>
      <x:c r="J44" s="15"/>
      <x:c r="K44" s="58"/>
      <x:c r="L44" s="58"/>
      <x:c r="M44" s="58"/>
      <x:c r="N44" s="58"/>
      <x:c r="O44" s="58"/>
      <x:c r="P44" s="58"/>
      <x:c r="Q44" s="15"/>
      <x:c r="R44" s="15"/>
      <x:c r="S44" s="15"/>
      <x:c r="T44" s="15"/>
      <x:c r="U44" s="15"/>
    </x:row>
    <x:row r="45" ht="22" customHeight="1">
      <x:c r="A45" s="50"/>
      <x:c r="B45" s="15"/>
      <x:c r="C45" s="15"/>
      <x:c r="D45" s="15"/>
      <x:c r="E45" s="15"/>
      <x:c r="F45" s="15"/>
      <x:c r="G45" s="15"/>
      <x:c r="H45" s="15"/>
      <x:c r="I45" s="15"/>
      <x:c r="J45" s="15"/>
      <x:c r="K45" s="58"/>
      <x:c r="L45" s="58"/>
      <x:c r="M45" s="58"/>
      <x:c r="N45" s="58"/>
      <x:c r="O45" s="58"/>
      <x:c r="P45" s="58"/>
      <x:c r="Q45" s="15"/>
      <x:c r="R45" s="15"/>
      <x:c r="S45" s="15"/>
      <x:c r="T45" s="15"/>
      <x:c r="U45" s="15"/>
    </x:row>
    <x:row r="46" ht="22" customHeight="1">
      <x:c r="A46" s="50"/>
      <x:c r="B46" s="15"/>
      <x:c r="C46" s="15"/>
      <x:c r="D46" s="15"/>
      <x:c r="E46" s="15"/>
      <x:c r="F46" s="15"/>
      <x:c r="G46" s="15"/>
      <x:c r="H46" s="15"/>
      <x:c r="I46" s="15"/>
      <x:c r="J46" s="15"/>
      <x:c r="K46" s="58"/>
      <x:c r="L46" s="58"/>
      <x:c r="M46" s="58"/>
      <x:c r="N46" s="58"/>
      <x:c r="O46" s="58"/>
      <x:c r="P46" s="58"/>
      <x:c r="Q46" s="15"/>
      <x:c r="R46" s="15"/>
      <x:c r="S46" s="15"/>
      <x:c r="T46" s="15"/>
      <x:c r="U46" s="15"/>
    </x:row>
    <x:row r="47" ht="22" customHeight="1">
      <x:c r="A47" s="50"/>
      <x:c r="B47" s="15"/>
      <x:c r="C47" s="15"/>
      <x:c r="D47" s="15"/>
      <x:c r="E47" s="15"/>
      <x:c r="F47" s="15"/>
      <x:c r="G47" s="15"/>
      <x:c r="H47" s="15"/>
      <x:c r="I47" s="15"/>
      <x:c r="J47" s="15"/>
      <x:c r="K47" s="58"/>
      <x:c r="L47" s="58"/>
      <x:c r="M47" s="58"/>
      <x:c r="N47" s="58"/>
      <x:c r="O47" s="58"/>
      <x:c r="P47" s="58"/>
      <x:c r="Q47" s="15"/>
      <x:c r="R47" s="15"/>
      <x:c r="S47" s="15"/>
      <x:c r="T47" s="15"/>
      <x:c r="U47" s="15"/>
    </x:row>
    <x:row r="48" ht="22" customHeight="1">
      <x:c r="A48" s="50"/>
      <x:c r="B48" s="15"/>
      <x:c r="C48" s="15"/>
      <x:c r="D48" s="15"/>
      <x:c r="E48" s="15"/>
      <x:c r="F48" s="15"/>
      <x:c r="G48" s="15"/>
      <x:c r="H48" s="15"/>
      <x:c r="I48" s="15"/>
      <x:c r="J48" s="15"/>
      <x:c r="K48" s="58"/>
      <x:c r="L48" s="58"/>
      <x:c r="M48" s="58"/>
      <x:c r="N48" s="58"/>
      <x:c r="O48" s="58"/>
      <x:c r="P48" s="58"/>
      <x:c r="Q48" s="15"/>
      <x:c r="R48" s="15"/>
      <x:c r="S48" s="15"/>
      <x:c r="T48" s="15"/>
      <x:c r="U48" s="15"/>
    </x:row>
    <x:row r="49" ht="22" customHeight="1">
      <x:c r="A49" s="50"/>
      <x:c r="B49" s="15"/>
      <x:c r="C49" s="15"/>
      <x:c r="D49" s="15"/>
      <x:c r="E49" s="15"/>
      <x:c r="F49" s="15"/>
      <x:c r="G49" s="15"/>
      <x:c r="H49" s="15"/>
      <x:c r="I49" s="15"/>
      <x:c r="J49" s="15"/>
      <x:c r="K49" s="58"/>
      <x:c r="L49" s="58"/>
      <x:c r="M49" s="58"/>
      <x:c r="N49" s="58"/>
      <x:c r="O49" s="58"/>
      <x:c r="P49" s="58"/>
      <x:c r="Q49" s="15"/>
      <x:c r="R49" s="15"/>
      <x:c r="S49" s="15"/>
      <x:c r="T49" s="15"/>
      <x:c r="U49" s="15"/>
    </x:row>
    <x:row r="50" ht="22" customHeight="1">
      <x:c r="A50" s="50"/>
      <x:c r="B50" s="15"/>
      <x:c r="C50" s="15"/>
      <x:c r="D50" s="15"/>
      <x:c r="E50" s="15"/>
      <x:c r="F50" s="15"/>
      <x:c r="G50" s="15"/>
      <x:c r="H50" s="15"/>
      <x:c r="I50" s="15"/>
      <x:c r="J50" s="15"/>
      <x:c r="K50" s="58"/>
      <x:c r="L50" s="58"/>
      <x:c r="M50" s="58"/>
      <x:c r="N50" s="58"/>
      <x:c r="O50" s="58"/>
      <x:c r="P50" s="58"/>
      <x:c r="Q50" s="15"/>
      <x:c r="R50" s="15"/>
      <x:c r="S50" s="15"/>
      <x:c r="T50" s="15"/>
      <x:c r="U50" s="15"/>
    </x:row>
    <x:row r="51" ht="22" customHeight="1">
      <x:c r="A51" s="50"/>
      <x:c r="B51" s="15"/>
      <x:c r="C51" s="15"/>
      <x:c r="D51" s="15"/>
      <x:c r="E51" s="15"/>
      <x:c r="F51" s="15"/>
      <x:c r="G51" s="15"/>
      <x:c r="H51" s="15"/>
      <x:c r="I51" s="15"/>
      <x:c r="J51" s="15"/>
      <x:c r="K51" s="58"/>
      <x:c r="L51" s="58"/>
      <x:c r="M51" s="58"/>
      <x:c r="N51" s="58"/>
      <x:c r="O51" s="58"/>
      <x:c r="P51" s="58"/>
      <x:c r="Q51" s="15"/>
      <x:c r="R51" s="15"/>
      <x:c r="S51" s="15"/>
      <x:c r="T51" s="15"/>
      <x:c r="U51" s="15"/>
    </x:row>
    <x:row r="52" ht="22" customHeight="1">
      <x:c r="A52" s="50"/>
      <x:c r="B52" s="15"/>
      <x:c r="C52" s="15"/>
      <x:c r="D52" s="15"/>
      <x:c r="E52" s="15"/>
      <x:c r="F52" s="15"/>
      <x:c r="G52" s="15"/>
      <x:c r="H52" s="15"/>
      <x:c r="I52" s="15"/>
      <x:c r="J52" s="15"/>
      <x:c r="K52" s="58"/>
      <x:c r="L52" s="58"/>
      <x:c r="M52" s="58"/>
      <x:c r="N52" s="58"/>
      <x:c r="O52" s="58"/>
      <x:c r="P52" s="58"/>
      <x:c r="Q52" s="15"/>
      <x:c r="R52" s="15"/>
      <x:c r="S52" s="15"/>
      <x:c r="T52" s="15"/>
      <x:c r="U52" s="15"/>
    </x:row>
    <x:row r="53" ht="22" customHeight="1">
      <x:c r="A53" s="50"/>
      <x:c r="B53" s="15"/>
      <x:c r="C53" s="15"/>
      <x:c r="D53" s="15"/>
      <x:c r="E53" s="15"/>
      <x:c r="F53" s="15"/>
      <x:c r="G53" s="15"/>
      <x:c r="H53" s="15"/>
      <x:c r="I53" s="15"/>
      <x:c r="J53" s="15"/>
      <x:c r="K53" s="58"/>
      <x:c r="L53" s="58"/>
      <x:c r="M53" s="58"/>
      <x:c r="N53" s="58"/>
      <x:c r="O53" s="58"/>
      <x:c r="P53" s="58"/>
      <x:c r="Q53" s="15"/>
      <x:c r="R53" s="15"/>
      <x:c r="S53" s="15"/>
      <x:c r="T53" s="15"/>
      <x:c r="U53" s="15"/>
    </x:row>
    <x:row r="54" ht="22" customHeight="1">
      <x:c r="A54" s="50"/>
      <x:c r="B54" s="15"/>
      <x:c r="C54" s="15"/>
      <x:c r="D54" s="15"/>
      <x:c r="E54" s="15"/>
      <x:c r="F54" s="15"/>
      <x:c r="G54" s="15"/>
      <x:c r="H54" s="15"/>
      <x:c r="I54" s="15"/>
      <x:c r="J54" s="15"/>
      <x:c r="K54" s="58"/>
      <x:c r="L54" s="58"/>
      <x:c r="M54" s="58"/>
      <x:c r="N54" s="58"/>
      <x:c r="O54" s="58"/>
      <x:c r="P54" s="58"/>
      <x:c r="Q54" s="15"/>
      <x:c r="R54" s="15"/>
      <x:c r="S54" s="15"/>
      <x:c r="T54" s="15"/>
      <x:c r="U54" s="15"/>
    </x:row>
    <x:row r="55" ht="22" customHeight="1">
      <x:c r="A55" s="50"/>
      <x:c r="B55" s="15"/>
      <x:c r="C55" s="15"/>
      <x:c r="D55" s="15"/>
      <x:c r="E55" s="15"/>
      <x:c r="F55" s="15"/>
      <x:c r="G55" s="15"/>
      <x:c r="H55" s="15"/>
      <x:c r="I55" s="15"/>
      <x:c r="J55" s="15"/>
      <x:c r="K55" s="58"/>
      <x:c r="L55" s="58"/>
      <x:c r="M55" s="58"/>
      <x:c r="N55" s="58"/>
      <x:c r="O55" s="58"/>
      <x:c r="P55" s="58"/>
      <x:c r="Q55" s="15"/>
      <x:c r="R55" s="15"/>
      <x:c r="S55" s="15"/>
      <x:c r="T55" s="15"/>
      <x:c r="U55" s="15"/>
    </x:row>
    <x:row r="56" ht="22" customHeight="1">
      <x:c r="A56" s="50"/>
      <x:c r="B56" s="15"/>
      <x:c r="C56" s="15"/>
      <x:c r="D56" s="15"/>
      <x:c r="E56" s="15"/>
      <x:c r="F56" s="15"/>
      <x:c r="G56" s="15"/>
      <x:c r="H56" s="15"/>
      <x:c r="I56" s="15"/>
      <x:c r="J56" s="15"/>
      <x:c r="K56" s="58"/>
      <x:c r="L56" s="58"/>
      <x:c r="M56" s="58"/>
      <x:c r="N56" s="58"/>
      <x:c r="O56" s="58"/>
      <x:c r="P56" s="58"/>
      <x:c r="Q56" s="15"/>
      <x:c r="R56" s="15"/>
      <x:c r="S56" s="15"/>
      <x:c r="T56" s="15"/>
      <x:c r="U56" s="15"/>
    </x:row>
    <x:row r="57" ht="22" customHeight="1">
      <x:c r="A57" s="50"/>
      <x:c r="B57" s="15"/>
      <x:c r="C57" s="15"/>
      <x:c r="D57" s="15"/>
      <x:c r="E57" s="15"/>
      <x:c r="F57" s="15"/>
      <x:c r="G57" s="15"/>
      <x:c r="H57" s="15"/>
      <x:c r="I57" s="15"/>
      <x:c r="J57" s="15"/>
      <x:c r="K57" s="58"/>
      <x:c r="L57" s="58"/>
      <x:c r="M57" s="58"/>
      <x:c r="N57" s="58"/>
      <x:c r="O57" s="58"/>
      <x:c r="P57" s="58"/>
      <x:c r="Q57" s="15"/>
      <x:c r="R57" s="15"/>
      <x:c r="S57" s="15"/>
      <x:c r="T57" s="15"/>
      <x:c r="U57" s="15"/>
    </x:row>
    <x:row r="58" ht="22" customHeight="1">
      <x:c r="A58" s="50"/>
      <x:c r="B58" s="15"/>
      <x:c r="C58" s="15"/>
      <x:c r="D58" s="15"/>
      <x:c r="E58" s="15"/>
      <x:c r="F58" s="15"/>
      <x:c r="G58" s="15"/>
      <x:c r="H58" s="15"/>
      <x:c r="I58" s="15"/>
      <x:c r="J58" s="15"/>
      <x:c r="K58" s="58"/>
      <x:c r="L58" s="58"/>
      <x:c r="M58" s="58"/>
      <x:c r="N58" s="58"/>
      <x:c r="O58" s="58"/>
      <x:c r="P58" s="58"/>
      <x:c r="Q58" s="15"/>
      <x:c r="R58" s="15"/>
      <x:c r="S58" s="15"/>
      <x:c r="T58" s="15"/>
      <x:c r="U58" s="15"/>
    </x:row>
    <x:row r="59" ht="22" customHeight="1">
      <x:c r="A59" s="50"/>
      <x:c r="B59" s="15"/>
      <x:c r="C59" s="15"/>
      <x:c r="D59" s="15"/>
      <x:c r="E59" s="15"/>
      <x:c r="F59" s="15"/>
      <x:c r="G59" s="15"/>
      <x:c r="H59" s="15"/>
      <x:c r="I59" s="15"/>
      <x:c r="J59" s="15"/>
      <x:c r="K59" s="58"/>
      <x:c r="L59" s="58"/>
      <x:c r="M59" s="58"/>
      <x:c r="N59" s="58"/>
      <x:c r="O59" s="58"/>
      <x:c r="P59" s="58"/>
      <x:c r="Q59" s="15"/>
      <x:c r="R59" s="15"/>
      <x:c r="S59" s="15"/>
      <x:c r="T59" s="15"/>
      <x:c r="U59" s="15"/>
    </x:row>
    <x:row r="60" ht="22" customHeight="1">
      <x:c r="A60" s="50"/>
      <x:c r="B60" s="15"/>
      <x:c r="C60" s="15"/>
      <x:c r="D60" s="15"/>
      <x:c r="E60" s="15"/>
      <x:c r="F60" s="15"/>
      <x:c r="G60" s="15"/>
      <x:c r="H60" s="15"/>
      <x:c r="I60" s="15"/>
      <x:c r="J60" s="15"/>
      <x:c r="K60" s="58"/>
      <x:c r="L60" s="58"/>
      <x:c r="M60" s="58"/>
      <x:c r="N60" s="58"/>
      <x:c r="O60" s="58"/>
      <x:c r="P60" s="58"/>
      <x:c r="Q60" s="15"/>
      <x:c r="R60" s="15"/>
      <x:c r="S60" s="15"/>
      <x:c r="T60" s="15"/>
      <x:c r="U60" s="15"/>
    </x:row>
    <x:row r="61" ht="22" customHeight="1">
      <x:c r="A61" s="50"/>
      <x:c r="B61" s="15"/>
      <x:c r="C61" s="15"/>
      <x:c r="D61" s="15"/>
      <x:c r="E61" s="15"/>
      <x:c r="F61" s="15"/>
      <x:c r="G61" s="15"/>
      <x:c r="H61" s="15"/>
      <x:c r="I61" s="15"/>
      <x:c r="J61" s="15"/>
      <x:c r="K61" s="58"/>
      <x:c r="L61" s="58"/>
      <x:c r="M61" s="58"/>
      <x:c r="N61" s="58"/>
      <x:c r="O61" s="58"/>
      <x:c r="P61" s="58"/>
      <x:c r="Q61" s="15"/>
      <x:c r="R61" s="15"/>
      <x:c r="S61" s="15"/>
      <x:c r="T61" s="15"/>
      <x:c r="U61" s="15"/>
    </x:row>
    <x:row r="62" ht="22" customHeight="1">
      <x:c r="A62" s="50"/>
      <x:c r="B62" s="15"/>
      <x:c r="C62" s="15"/>
      <x:c r="D62" s="15"/>
      <x:c r="E62" s="15"/>
      <x:c r="F62" s="15"/>
      <x:c r="G62" s="15"/>
      <x:c r="H62" s="15"/>
      <x:c r="I62" s="15"/>
      <x:c r="J62" s="15"/>
      <x:c r="K62" s="58"/>
      <x:c r="L62" s="58"/>
      <x:c r="M62" s="58"/>
      <x:c r="N62" s="58"/>
      <x:c r="O62" s="58"/>
      <x:c r="P62" s="58"/>
      <x:c r="Q62" s="15"/>
      <x:c r="R62" s="15"/>
      <x:c r="S62" s="15"/>
      <x:c r="T62" s="15"/>
      <x:c r="U62" s="15"/>
    </x:row>
    <x:row r="63" ht="22" customHeight="1">
      <x:c r="A63" s="50"/>
      <x:c r="B63" s="15"/>
      <x:c r="C63" s="15"/>
      <x:c r="D63" s="15"/>
      <x:c r="E63" s="15"/>
      <x:c r="F63" s="15"/>
      <x:c r="G63" s="15"/>
      <x:c r="H63" s="15"/>
      <x:c r="I63" s="15"/>
      <x:c r="J63" s="15"/>
      <x:c r="K63" s="58"/>
      <x:c r="L63" s="58"/>
      <x:c r="M63" s="58"/>
      <x:c r="N63" s="58"/>
      <x:c r="O63" s="58"/>
      <x:c r="P63" s="58"/>
      <x:c r="Q63" s="15"/>
      <x:c r="R63" s="15"/>
      <x:c r="S63" s="15"/>
      <x:c r="T63" s="15"/>
      <x:c r="U63" s="15"/>
    </x:row>
    <x:row r="64" ht="22" customHeight="1">
      <x:c r="A64" s="50"/>
      <x:c r="B64" s="15"/>
      <x:c r="C64" s="15"/>
      <x:c r="D64" s="15"/>
      <x:c r="E64" s="15"/>
      <x:c r="F64" s="15"/>
      <x:c r="G64" s="15"/>
      <x:c r="H64" s="15"/>
      <x:c r="I64" s="15"/>
      <x:c r="J64" s="15"/>
      <x:c r="K64" s="58"/>
      <x:c r="L64" s="58"/>
      <x:c r="M64" s="58"/>
      <x:c r="N64" s="58"/>
      <x:c r="O64" s="58"/>
      <x:c r="P64" s="58"/>
      <x:c r="Q64" s="15"/>
      <x:c r="R64" s="15"/>
      <x:c r="S64" s="15"/>
      <x:c r="T64" s="15"/>
      <x:c r="U64" s="15"/>
    </x:row>
    <x:row r="65" ht="22" customHeight="1">
      <x:c r="A65" s="50"/>
      <x:c r="B65" s="15"/>
      <x:c r="C65" s="15"/>
      <x:c r="D65" s="15"/>
      <x:c r="E65" s="15"/>
      <x:c r="F65" s="15"/>
      <x:c r="G65" s="15"/>
      <x:c r="H65" s="15"/>
      <x:c r="I65" s="15"/>
      <x:c r="J65" s="15"/>
      <x:c r="K65" s="58"/>
      <x:c r="L65" s="58"/>
      <x:c r="M65" s="58"/>
      <x:c r="N65" s="58"/>
      <x:c r="O65" s="58"/>
      <x:c r="P65" s="58"/>
      <x:c r="Q65" s="15"/>
      <x:c r="R65" s="15"/>
      <x:c r="S65" s="15"/>
      <x:c r="T65" s="15"/>
      <x:c r="U65" s="15"/>
    </x:row>
    <x:row r="66" ht="22" customHeight="1">
      <x:c r="A66" s="50"/>
      <x:c r="B66" s="15"/>
      <x:c r="C66" s="15"/>
      <x:c r="D66" s="15"/>
      <x:c r="E66" s="15"/>
      <x:c r="F66" s="15"/>
      <x:c r="G66" s="15"/>
      <x:c r="H66" s="15"/>
      <x:c r="I66" s="15"/>
      <x:c r="J66" s="15"/>
      <x:c r="K66" s="58"/>
      <x:c r="L66" s="58"/>
      <x:c r="M66" s="58"/>
      <x:c r="N66" s="58"/>
      <x:c r="O66" s="58"/>
      <x:c r="P66" s="58"/>
      <x:c r="Q66" s="15"/>
      <x:c r="R66" s="15"/>
      <x:c r="S66" s="15"/>
      <x:c r="T66" s="15"/>
      <x:c r="U66" s="15"/>
    </x:row>
    <x:row r="67" ht="22" customHeight="1">
      <x:c r="A67" s="50"/>
      <x:c r="B67" s="15"/>
      <x:c r="C67" s="15"/>
      <x:c r="D67" s="15"/>
      <x:c r="E67" s="15"/>
      <x:c r="F67" s="15"/>
      <x:c r="G67" s="15"/>
      <x:c r="H67" s="15"/>
      <x:c r="I67" s="15"/>
      <x:c r="J67" s="15"/>
      <x:c r="K67" s="58"/>
      <x:c r="L67" s="58"/>
      <x:c r="M67" s="58"/>
      <x:c r="N67" s="58"/>
      <x:c r="O67" s="58"/>
      <x:c r="P67" s="58"/>
      <x:c r="Q67" s="15"/>
      <x:c r="R67" s="15"/>
      <x:c r="S67" s="15"/>
      <x:c r="T67" s="15"/>
      <x:c r="U67" s="15"/>
    </x:row>
    <x:row r="68" ht="22" customHeight="1">
      <x:c r="A68" s="50"/>
      <x:c r="B68" s="15"/>
      <x:c r="C68" s="15"/>
      <x:c r="D68" s="15"/>
      <x:c r="E68" s="15"/>
      <x:c r="F68" s="15"/>
      <x:c r="G68" s="15"/>
      <x:c r="H68" s="15"/>
      <x:c r="I68" s="15"/>
      <x:c r="J68" s="15"/>
      <x:c r="K68" s="58"/>
      <x:c r="L68" s="58"/>
      <x:c r="M68" s="58"/>
      <x:c r="N68" s="58"/>
      <x:c r="O68" s="58"/>
      <x:c r="P68" s="58"/>
      <x:c r="Q68" s="15"/>
      <x:c r="R68" s="15"/>
      <x:c r="S68" s="15"/>
      <x:c r="T68" s="15"/>
      <x:c r="U68" s="15"/>
    </x:row>
    <x:row r="69" ht="22" customHeight="1">
      <x:c r="A69" s="50"/>
      <x:c r="B69" s="15"/>
      <x:c r="C69" s="15"/>
      <x:c r="D69" s="15"/>
      <x:c r="E69" s="15"/>
      <x:c r="F69" s="15"/>
      <x:c r="G69" s="15"/>
      <x:c r="H69" s="15"/>
      <x:c r="I69" s="15"/>
      <x:c r="J69" s="15"/>
      <x:c r="K69" s="58"/>
      <x:c r="L69" s="58"/>
      <x:c r="M69" s="58"/>
      <x:c r="N69" s="58"/>
      <x:c r="O69" s="58"/>
      <x:c r="P69" s="58"/>
      <x:c r="Q69" s="15"/>
      <x:c r="R69" s="15"/>
      <x:c r="S69" s="15"/>
      <x:c r="T69" s="15"/>
      <x:c r="U69" s="15"/>
    </x:row>
    <x:row r="70" ht="22" customHeight="1">
      <x:c r="A70" s="50"/>
      <x:c r="B70" s="15"/>
      <x:c r="C70" s="15"/>
      <x:c r="D70" s="15"/>
      <x:c r="E70" s="15"/>
      <x:c r="F70" s="15"/>
      <x:c r="G70" s="15"/>
      <x:c r="H70" s="15"/>
      <x:c r="I70" s="15"/>
      <x:c r="J70" s="15"/>
      <x:c r="K70" s="58"/>
      <x:c r="L70" s="58"/>
      <x:c r="M70" s="58"/>
      <x:c r="N70" s="58"/>
      <x:c r="O70" s="58"/>
      <x:c r="P70" s="58"/>
      <x:c r="Q70" s="15"/>
      <x:c r="R70" s="15"/>
      <x:c r="S70" s="15"/>
      <x:c r="T70" s="15"/>
      <x:c r="U70" s="15"/>
    </x:row>
    <x:row r="71" ht="22" customHeight="1">
      <x:c r="A71" s="50"/>
      <x:c r="B71" s="15"/>
      <x:c r="C71" s="15"/>
      <x:c r="D71" s="15"/>
      <x:c r="E71" s="15"/>
      <x:c r="F71" s="15"/>
      <x:c r="G71" s="15"/>
      <x:c r="H71" s="15"/>
      <x:c r="I71" s="15"/>
      <x:c r="J71" s="15"/>
      <x:c r="K71" s="58"/>
      <x:c r="L71" s="58"/>
      <x:c r="M71" s="58"/>
      <x:c r="N71" s="58"/>
      <x:c r="O71" s="58"/>
      <x:c r="P71" s="58"/>
      <x:c r="Q71" s="15"/>
      <x:c r="R71" s="15"/>
      <x:c r="S71" s="15"/>
      <x:c r="T71" s="15"/>
      <x:c r="U71" s="15"/>
    </x:row>
    <x:row r="72" ht="22" customHeight="1">
      <x:c r="A72" s="50"/>
      <x:c r="B72" s="15"/>
      <x:c r="C72" s="15"/>
      <x:c r="D72" s="15"/>
      <x:c r="E72" s="15"/>
      <x:c r="F72" s="15"/>
      <x:c r="G72" s="15"/>
      <x:c r="H72" s="15"/>
      <x:c r="I72" s="15"/>
      <x:c r="J72" s="15"/>
      <x:c r="K72" s="58"/>
      <x:c r="L72" s="58"/>
      <x:c r="M72" s="58"/>
      <x:c r="N72" s="58"/>
      <x:c r="O72" s="58"/>
      <x:c r="P72" s="58"/>
      <x:c r="Q72" s="15"/>
      <x:c r="R72" s="15"/>
      <x:c r="S72" s="15"/>
      <x:c r="T72" s="15"/>
      <x:c r="U72" s="15"/>
    </x:row>
    <x:row r="73" ht="22" customHeight="1">
      <x:c r="A73" s="50"/>
      <x:c r="B73" s="15"/>
      <x:c r="C73" s="15"/>
      <x:c r="D73" s="15"/>
      <x:c r="E73" s="15"/>
      <x:c r="F73" s="15"/>
      <x:c r="G73" s="15"/>
      <x:c r="H73" s="15"/>
      <x:c r="I73" s="15"/>
      <x:c r="J73" s="15"/>
      <x:c r="K73" s="58"/>
      <x:c r="L73" s="58"/>
      <x:c r="M73" s="58"/>
      <x:c r="N73" s="58"/>
      <x:c r="O73" s="58"/>
      <x:c r="P73" s="58"/>
      <x:c r="Q73" s="15"/>
      <x:c r="R73" s="15"/>
      <x:c r="S73" s="15"/>
      <x:c r="T73" s="15"/>
      <x:c r="U73" s="15"/>
    </x:row>
    <x:row r="74" ht="22" customHeight="1">
      <x:c r="A74" s="50"/>
      <x:c r="B74" s="15"/>
      <x:c r="C74" s="15"/>
      <x:c r="D74" s="15"/>
      <x:c r="E74" s="15"/>
      <x:c r="F74" s="15"/>
      <x:c r="G74" s="15"/>
      <x:c r="H74" s="15"/>
      <x:c r="I74" s="15"/>
      <x:c r="J74" s="15"/>
      <x:c r="K74" s="58"/>
      <x:c r="L74" s="58"/>
      <x:c r="M74" s="58"/>
      <x:c r="N74" s="58"/>
      <x:c r="O74" s="58"/>
      <x:c r="P74" s="58"/>
      <x:c r="Q74" s="15"/>
      <x:c r="R74" s="15"/>
      <x:c r="S74" s="15"/>
      <x:c r="T74" s="15"/>
      <x:c r="U74" s="15"/>
    </x:row>
    <x:row r="75" ht="22" customHeight="1">
      <x:c r="A75" s="50"/>
      <x:c r="B75" s="15"/>
      <x:c r="C75" s="15"/>
      <x:c r="D75" s="15"/>
      <x:c r="E75" s="15"/>
      <x:c r="F75" s="15"/>
      <x:c r="G75" s="15"/>
      <x:c r="H75" s="15"/>
      <x:c r="I75" s="15"/>
      <x:c r="J75" s="15"/>
      <x:c r="K75" s="58"/>
      <x:c r="L75" s="58"/>
      <x:c r="M75" s="58"/>
      <x:c r="N75" s="58"/>
      <x:c r="O75" s="58"/>
      <x:c r="P75" s="58"/>
      <x:c r="Q75" s="15"/>
      <x:c r="R75" s="15"/>
      <x:c r="S75" s="15"/>
      <x:c r="T75" s="15"/>
      <x:c r="U75" s="15"/>
    </x:row>
    <x:row r="76" ht="22" customHeight="1">
      <x:c r="A76" s="50"/>
      <x:c r="B76" s="15"/>
      <x:c r="C76" s="15"/>
      <x:c r="D76" s="15"/>
      <x:c r="E76" s="15"/>
      <x:c r="F76" s="15"/>
      <x:c r="G76" s="15"/>
      <x:c r="H76" s="15"/>
      <x:c r="I76" s="15"/>
      <x:c r="J76" s="15"/>
      <x:c r="K76" s="58"/>
      <x:c r="L76" s="58"/>
      <x:c r="M76" s="58"/>
      <x:c r="N76" s="58"/>
      <x:c r="O76" s="58"/>
      <x:c r="P76" s="58"/>
      <x:c r="Q76" s="15"/>
      <x:c r="R76" s="15"/>
      <x:c r="S76" s="15"/>
      <x:c r="T76" s="15"/>
      <x:c r="U76" s="15"/>
    </x:row>
    <x:row r="77" ht="22" customHeight="1">
      <x:c r="A77" s="50"/>
      <x:c r="B77" s="15"/>
      <x:c r="C77" s="15"/>
      <x:c r="D77" s="15"/>
      <x:c r="E77" s="15"/>
      <x:c r="F77" s="15"/>
      <x:c r="G77" s="15"/>
      <x:c r="H77" s="15"/>
      <x:c r="I77" s="15"/>
      <x:c r="J77" s="15"/>
      <x:c r="K77" s="58"/>
      <x:c r="L77" s="58"/>
      <x:c r="M77" s="58"/>
      <x:c r="N77" s="58"/>
      <x:c r="O77" s="58"/>
      <x:c r="P77" s="58"/>
      <x:c r="Q77" s="15"/>
      <x:c r="R77" s="15"/>
      <x:c r="S77" s="15"/>
      <x:c r="T77" s="15"/>
      <x:c r="U77" s="15"/>
    </x:row>
    <x:row r="78" ht="22" customHeight="1">
      <x:c r="A78" s="50"/>
      <x:c r="B78" s="15"/>
      <x:c r="C78" s="15"/>
      <x:c r="D78" s="15"/>
      <x:c r="E78" s="15"/>
      <x:c r="F78" s="15"/>
      <x:c r="G78" s="15"/>
      <x:c r="H78" s="15"/>
      <x:c r="I78" s="15"/>
      <x:c r="J78" s="15"/>
      <x:c r="K78" s="58"/>
      <x:c r="L78" s="58"/>
      <x:c r="M78" s="58"/>
      <x:c r="N78" s="58"/>
      <x:c r="O78" s="58"/>
      <x:c r="P78" s="58"/>
      <x:c r="Q78" s="15"/>
      <x:c r="R78" s="15"/>
      <x:c r="S78" s="15"/>
      <x:c r="T78" s="15"/>
      <x:c r="U78" s="15"/>
    </x:row>
    <x:row r="79" ht="22" customHeight="1">
      <x:c r="A79" s="50"/>
      <x:c r="B79" s="15"/>
      <x:c r="C79" s="15"/>
      <x:c r="D79" s="15"/>
      <x:c r="E79" s="15"/>
      <x:c r="F79" s="15"/>
      <x:c r="G79" s="15"/>
      <x:c r="H79" s="15"/>
      <x:c r="I79" s="15"/>
      <x:c r="J79" s="15"/>
      <x:c r="K79" s="58"/>
      <x:c r="L79" s="58"/>
      <x:c r="M79" s="58"/>
      <x:c r="N79" s="58"/>
      <x:c r="O79" s="58"/>
      <x:c r="P79" s="58"/>
      <x:c r="Q79" s="15"/>
      <x:c r="R79" s="15"/>
      <x:c r="S79" s="15"/>
      <x:c r="T79" s="15"/>
      <x:c r="U79" s="15"/>
    </x:row>
    <x:row r="80" ht="22" customHeight="1">
      <x:c r="A80" s="50"/>
      <x:c r="B80" s="15"/>
      <x:c r="C80" s="15"/>
      <x:c r="D80" s="15"/>
      <x:c r="E80" s="15"/>
      <x:c r="F80" s="15"/>
      <x:c r="G80" s="15"/>
      <x:c r="H80" s="15"/>
      <x:c r="I80" s="15"/>
      <x:c r="J80" s="15"/>
      <x:c r="K80" s="58"/>
      <x:c r="L80" s="58"/>
      <x:c r="M80" s="58"/>
      <x:c r="N80" s="58"/>
      <x:c r="O80" s="58"/>
      <x:c r="P80" s="58"/>
      <x:c r="Q80" s="15"/>
      <x:c r="R80" s="15"/>
      <x:c r="S80" s="15"/>
      <x:c r="T80" s="15"/>
      <x:c r="U80" s="15"/>
    </x:row>
    <x:row r="81" ht="22" customHeight="1">
      <x:c r="A81" s="50"/>
      <x:c r="B81" s="15"/>
      <x:c r="C81" s="15"/>
      <x:c r="D81" s="15"/>
      <x:c r="E81" s="15"/>
      <x:c r="F81" s="15"/>
      <x:c r="G81" s="15"/>
      <x:c r="H81" s="15"/>
      <x:c r="I81" s="15"/>
      <x:c r="J81" s="15"/>
      <x:c r="K81" s="58"/>
      <x:c r="L81" s="58"/>
      <x:c r="M81" s="58"/>
      <x:c r="N81" s="58"/>
      <x:c r="O81" s="58"/>
      <x:c r="P81" s="58"/>
      <x:c r="Q81" s="15"/>
      <x:c r="R81" s="15"/>
      <x:c r="S81" s="15"/>
      <x:c r="T81" s="15"/>
      <x:c r="U81" s="15"/>
    </x:row>
    <x:row r="82" ht="22" customHeight="1">
      <x:c r="A82" s="50"/>
      <x:c r="B82" s="15"/>
      <x:c r="C82" s="15"/>
      <x:c r="D82" s="15"/>
      <x:c r="E82" s="15"/>
      <x:c r="F82" s="15"/>
      <x:c r="G82" s="15"/>
      <x:c r="H82" s="15"/>
      <x:c r="I82" s="15"/>
      <x:c r="J82" s="15"/>
      <x:c r="K82" s="58"/>
      <x:c r="L82" s="58"/>
      <x:c r="M82" s="58"/>
      <x:c r="N82" s="58"/>
      <x:c r="O82" s="58"/>
      <x:c r="P82" s="58"/>
      <x:c r="Q82" s="15"/>
      <x:c r="R82" s="15"/>
      <x:c r="S82" s="15"/>
      <x:c r="T82" s="15"/>
      <x:c r="U82" s="15"/>
    </x:row>
    <x:row r="83" ht="22" customHeight="1">
      <x:c r="A83" s="50"/>
      <x:c r="B83" s="15"/>
      <x:c r="C83" s="15"/>
      <x:c r="D83" s="15"/>
      <x:c r="E83" s="15"/>
      <x:c r="F83" s="15"/>
      <x:c r="G83" s="15"/>
      <x:c r="H83" s="15"/>
      <x:c r="I83" s="15"/>
      <x:c r="J83" s="15"/>
      <x:c r="K83" s="58"/>
      <x:c r="L83" s="58"/>
      <x:c r="M83" s="58"/>
      <x:c r="N83" s="58"/>
      <x:c r="O83" s="58"/>
      <x:c r="P83" s="58"/>
      <x:c r="Q83" s="15"/>
      <x:c r="R83" s="15"/>
      <x:c r="S83" s="15"/>
      <x:c r="T83" s="15"/>
      <x:c r="U83" s="15"/>
    </x:row>
    <x:row r="84" ht="22" customHeight="1">
      <x:c r="A84" s="50"/>
      <x:c r="B84" s="15"/>
      <x:c r="C84" s="15"/>
      <x:c r="D84" s="15"/>
      <x:c r="E84" s="15"/>
      <x:c r="F84" s="15"/>
      <x:c r="G84" s="15"/>
      <x:c r="H84" s="15"/>
      <x:c r="I84" s="15"/>
      <x:c r="J84" s="15"/>
      <x:c r="K84" s="58"/>
      <x:c r="L84" s="58"/>
      <x:c r="M84" s="58"/>
      <x:c r="N84" s="58"/>
      <x:c r="O84" s="58"/>
      <x:c r="P84" s="58"/>
      <x:c r="Q84" s="15"/>
      <x:c r="R84" s="15"/>
      <x:c r="S84" s="15"/>
      <x:c r="T84" s="15"/>
      <x:c r="U84" s="15"/>
    </x:row>
    <x:row r="85" ht="22" customHeight="1">
      <x:c r="A85" s="50"/>
      <x:c r="B85" s="15"/>
      <x:c r="C85" s="15"/>
      <x:c r="D85" s="15"/>
      <x:c r="E85" s="15"/>
      <x:c r="F85" s="15"/>
      <x:c r="G85" s="15"/>
      <x:c r="H85" s="15"/>
      <x:c r="I85" s="15"/>
      <x:c r="J85" s="15"/>
      <x:c r="K85" s="58"/>
      <x:c r="L85" s="58"/>
      <x:c r="M85" s="58"/>
      <x:c r="N85" s="58"/>
      <x:c r="O85" s="58"/>
      <x:c r="P85" s="58"/>
      <x:c r="Q85" s="15"/>
      <x:c r="R85" s="15"/>
      <x:c r="S85" s="15"/>
      <x:c r="T85" s="15"/>
      <x:c r="U85" s="15"/>
    </x:row>
    <x:row r="86" ht="22" customHeight="1">
      <x:c r="A86" s="50"/>
      <x:c r="B86" s="15"/>
      <x:c r="C86" s="15"/>
      <x:c r="D86" s="15"/>
      <x:c r="E86" s="15"/>
      <x:c r="F86" s="15"/>
      <x:c r="G86" s="15"/>
      <x:c r="H86" s="15"/>
      <x:c r="I86" s="15"/>
      <x:c r="J86" s="15"/>
      <x:c r="K86" s="58"/>
      <x:c r="L86" s="58"/>
      <x:c r="M86" s="58"/>
      <x:c r="N86" s="58"/>
      <x:c r="O86" s="58"/>
      <x:c r="P86" s="58"/>
      <x:c r="Q86" s="15"/>
      <x:c r="R86" s="15"/>
      <x:c r="S86" s="15"/>
      <x:c r="T86" s="15"/>
      <x:c r="U86" s="15"/>
    </x:row>
    <x:row r="87" ht="22" customHeight="1">
      <x:c r="A87" s="50"/>
      <x:c r="B87" s="15"/>
      <x:c r="C87" s="15"/>
      <x:c r="D87" s="15"/>
      <x:c r="E87" s="15"/>
      <x:c r="F87" s="15"/>
      <x:c r="G87" s="15"/>
      <x:c r="H87" s="15"/>
      <x:c r="I87" s="15"/>
      <x:c r="J87" s="15"/>
      <x:c r="K87" s="58"/>
      <x:c r="L87" s="58"/>
      <x:c r="M87" s="58"/>
      <x:c r="N87" s="58"/>
      <x:c r="O87" s="58"/>
      <x:c r="P87" s="58"/>
      <x:c r="Q87" s="15"/>
      <x:c r="R87" s="15"/>
      <x:c r="S87" s="15"/>
      <x:c r="T87" s="15"/>
      <x:c r="U87" s="15"/>
    </x:row>
    <x:row r="88" ht="22" customHeight="1">
      <x:c r="A88" s="50"/>
      <x:c r="B88" s="15"/>
      <x:c r="C88" s="15"/>
      <x:c r="D88" s="15"/>
      <x:c r="E88" s="15"/>
      <x:c r="F88" s="15"/>
      <x:c r="G88" s="15"/>
      <x:c r="H88" s="15"/>
      <x:c r="I88" s="15"/>
      <x:c r="J88" s="15"/>
      <x:c r="K88" s="58"/>
      <x:c r="L88" s="58"/>
      <x:c r="M88" s="58"/>
      <x:c r="N88" s="58"/>
      <x:c r="O88" s="58"/>
      <x:c r="P88" s="58"/>
      <x:c r="Q88" s="15"/>
      <x:c r="R88" s="15"/>
      <x:c r="S88" s="15"/>
      <x:c r="T88" s="15"/>
      <x:c r="U88" s="15"/>
    </x:row>
    <x:row r="89" ht="22" customHeight="1">
      <x:c r="A89" s="50"/>
      <x:c r="B89" s="15"/>
      <x:c r="C89" s="15"/>
      <x:c r="D89" s="15"/>
      <x:c r="E89" s="15"/>
      <x:c r="F89" s="15"/>
      <x:c r="G89" s="15"/>
      <x:c r="H89" s="15"/>
      <x:c r="I89" s="15"/>
      <x:c r="J89" s="15"/>
      <x:c r="K89" s="58"/>
      <x:c r="L89" s="58"/>
      <x:c r="M89" s="58"/>
      <x:c r="N89" s="58"/>
      <x:c r="O89" s="58"/>
      <x:c r="P89" s="58"/>
      <x:c r="Q89" s="15"/>
      <x:c r="R89" s="15"/>
      <x:c r="S89" s="15"/>
      <x:c r="T89" s="15"/>
      <x:c r="U89" s="15"/>
    </x:row>
    <x:row r="90" ht="22" customHeight="1">
      <x:c r="A90" s="50"/>
      <x:c r="B90" s="15"/>
      <x:c r="C90" s="15"/>
      <x:c r="D90" s="15"/>
      <x:c r="E90" s="15"/>
      <x:c r="F90" s="15"/>
      <x:c r="G90" s="15"/>
      <x:c r="H90" s="15"/>
      <x:c r="I90" s="15"/>
      <x:c r="J90" s="15"/>
      <x:c r="K90" s="58"/>
      <x:c r="L90" s="58"/>
      <x:c r="M90" s="58"/>
      <x:c r="N90" s="58"/>
      <x:c r="O90" s="58"/>
      <x:c r="P90" s="58"/>
      <x:c r="Q90" s="15"/>
      <x:c r="R90" s="15"/>
      <x:c r="S90" s="15"/>
      <x:c r="T90" s="15"/>
      <x:c r="U90" s="15"/>
    </x:row>
    <x:row r="91" ht="22" customHeight="1">
      <x:c r="A91" s="50"/>
      <x:c r="B91" s="15"/>
      <x:c r="C91" s="15"/>
      <x:c r="D91" s="15"/>
      <x:c r="E91" s="15"/>
      <x:c r="F91" s="15"/>
      <x:c r="G91" s="15"/>
      <x:c r="H91" s="15"/>
      <x:c r="I91" s="15"/>
      <x:c r="J91" s="15"/>
      <x:c r="K91" s="58"/>
      <x:c r="L91" s="58"/>
      <x:c r="M91" s="58"/>
      <x:c r="N91" s="58"/>
      <x:c r="O91" s="58"/>
      <x:c r="P91" s="58"/>
      <x:c r="Q91" s="15"/>
      <x:c r="R91" s="15"/>
      <x:c r="S91" s="15"/>
      <x:c r="T91" s="15"/>
      <x:c r="U91" s="15"/>
    </x:row>
    <x:row r="92" ht="22" customHeight="1">
      <x:c r="A92" s="50"/>
      <x:c r="B92" s="15"/>
      <x:c r="C92" s="15"/>
      <x:c r="D92" s="15"/>
      <x:c r="E92" s="15"/>
      <x:c r="F92" s="15"/>
      <x:c r="G92" s="15"/>
      <x:c r="H92" s="15"/>
      <x:c r="I92" s="15"/>
      <x:c r="J92" s="15"/>
      <x:c r="K92" s="58"/>
      <x:c r="L92" s="58"/>
      <x:c r="M92" s="58"/>
      <x:c r="N92" s="58"/>
      <x:c r="O92" s="58"/>
      <x:c r="P92" s="58"/>
      <x:c r="Q92" s="15"/>
      <x:c r="R92" s="15"/>
      <x:c r="S92" s="15"/>
      <x:c r="T92" s="15"/>
      <x:c r="U92" s="15"/>
    </x:row>
    <x:row r="93" ht="22" customHeight="1">
      <x:c r="A93" s="50"/>
      <x:c r="B93" s="15"/>
      <x:c r="C93" s="15"/>
      <x:c r="D93" s="15"/>
      <x:c r="E93" s="15"/>
      <x:c r="F93" s="15"/>
      <x:c r="G93" s="15"/>
      <x:c r="H93" s="15"/>
      <x:c r="I93" s="15"/>
      <x:c r="J93" s="15"/>
      <x:c r="K93" s="58"/>
      <x:c r="L93" s="58"/>
      <x:c r="M93" s="58"/>
      <x:c r="N93" s="58"/>
      <x:c r="O93" s="58"/>
      <x:c r="P93" s="58"/>
      <x:c r="Q93" s="15"/>
      <x:c r="R93" s="15"/>
      <x:c r="S93" s="15"/>
      <x:c r="T93" s="15"/>
      <x:c r="U93" s="15"/>
    </x:row>
    <x:row r="94" ht="22" customHeight="1">
      <x:c r="A94" s="50"/>
      <x:c r="B94" s="15"/>
      <x:c r="C94" s="15"/>
      <x:c r="D94" s="15"/>
      <x:c r="E94" s="15"/>
      <x:c r="F94" s="15"/>
      <x:c r="G94" s="15"/>
      <x:c r="H94" s="15"/>
      <x:c r="I94" s="15"/>
      <x:c r="J94" s="15"/>
      <x:c r="K94" s="58"/>
      <x:c r="L94" s="58"/>
      <x:c r="M94" s="58"/>
      <x:c r="N94" s="58"/>
      <x:c r="O94" s="58"/>
      <x:c r="P94" s="58"/>
      <x:c r="Q94" s="15"/>
      <x:c r="R94" s="15"/>
      <x:c r="S94" s="15"/>
      <x:c r="T94" s="15"/>
      <x:c r="U94" s="15"/>
    </x:row>
    <x:row r="95" ht="22" customHeight="1">
      <x:c r="A95" s="50"/>
      <x:c r="B95" s="15"/>
      <x:c r="C95" s="15"/>
      <x:c r="D95" s="15"/>
      <x:c r="E95" s="15"/>
      <x:c r="F95" s="15"/>
      <x:c r="G95" s="15"/>
      <x:c r="H95" s="15"/>
      <x:c r="I95" s="15"/>
      <x:c r="J95" s="15"/>
      <x:c r="K95" s="58"/>
      <x:c r="L95" s="58"/>
      <x:c r="M95" s="58"/>
      <x:c r="N95" s="58"/>
      <x:c r="O95" s="58"/>
      <x:c r="P95" s="58"/>
      <x:c r="Q95" s="15"/>
      <x:c r="R95" s="15"/>
      <x:c r="S95" s="15"/>
      <x:c r="T95" s="15"/>
      <x:c r="U95" s="15"/>
    </x:row>
    <x:row r="96" ht="22" customHeight="1">
      <x:c r="A96" s="50"/>
      <x:c r="B96" s="15"/>
      <x:c r="C96" s="15"/>
      <x:c r="D96" s="15"/>
      <x:c r="E96" s="15"/>
      <x:c r="F96" s="15"/>
      <x:c r="G96" s="15"/>
      <x:c r="H96" s="15"/>
      <x:c r="I96" s="15"/>
      <x:c r="J96" s="15"/>
      <x:c r="K96" s="58"/>
      <x:c r="L96" s="58"/>
      <x:c r="M96" s="58"/>
      <x:c r="N96" s="58"/>
      <x:c r="O96" s="58"/>
      <x:c r="P96" s="58"/>
      <x:c r="Q96" s="15"/>
      <x:c r="R96" s="15"/>
      <x:c r="S96" s="15"/>
      <x:c r="T96" s="15"/>
      <x:c r="U96" s="15"/>
    </x:row>
    <x:row r="97" ht="22" customHeight="1">
      <x:c r="A97" s="50"/>
      <x:c r="B97" s="15"/>
      <x:c r="C97" s="15"/>
      <x:c r="D97" s="15"/>
      <x:c r="E97" s="15"/>
      <x:c r="F97" s="15"/>
      <x:c r="G97" s="15"/>
      <x:c r="H97" s="15"/>
      <x:c r="I97" s="15"/>
      <x:c r="J97" s="15"/>
      <x:c r="K97" s="58"/>
      <x:c r="L97" s="58"/>
      <x:c r="M97" s="58"/>
      <x:c r="N97" s="58"/>
      <x:c r="O97" s="58"/>
      <x:c r="P97" s="58"/>
      <x:c r="Q97" s="15"/>
      <x:c r="R97" s="15"/>
      <x:c r="S97" s="15"/>
      <x:c r="T97" s="15"/>
      <x:c r="U97" s="15"/>
    </x:row>
    <x:row r="98" ht="22" customHeight="1">
      <x:c r="A98" s="50"/>
      <x:c r="B98" s="15"/>
      <x:c r="C98" s="15"/>
      <x:c r="D98" s="15"/>
      <x:c r="E98" s="15"/>
      <x:c r="F98" s="15"/>
      <x:c r="G98" s="15"/>
      <x:c r="H98" s="15"/>
      <x:c r="I98" s="15"/>
      <x:c r="J98" s="15"/>
      <x:c r="K98" s="58"/>
      <x:c r="L98" s="58"/>
      <x:c r="M98" s="58"/>
      <x:c r="N98" s="58"/>
      <x:c r="O98" s="58"/>
      <x:c r="P98" s="58"/>
      <x:c r="Q98" s="15"/>
      <x:c r="R98" s="15"/>
      <x:c r="S98" s="15"/>
      <x:c r="T98" s="15"/>
      <x:c r="U98" s="15"/>
    </x:row>
    <x:row r="99" ht="22" customHeight="1">
      <x:c r="A99" s="50"/>
      <x:c r="B99" s="15"/>
      <x:c r="C99" s="15"/>
      <x:c r="D99" s="15"/>
      <x:c r="E99" s="15"/>
      <x:c r="F99" s="15"/>
      <x:c r="G99" s="15"/>
      <x:c r="H99" s="15"/>
      <x:c r="I99" s="15"/>
      <x:c r="J99" s="15"/>
      <x:c r="K99" s="58"/>
      <x:c r="L99" s="58"/>
      <x:c r="M99" s="58"/>
      <x:c r="N99" s="58"/>
      <x:c r="O99" s="58"/>
      <x:c r="P99" s="58"/>
      <x:c r="Q99" s="15"/>
      <x:c r="R99" s="15"/>
      <x:c r="S99" s="15"/>
      <x:c r="T99" s="15"/>
      <x:c r="U99" s="15"/>
    </x:row>
    <x:row r="100" ht="22" customHeight="1">
      <x:c r="A100" s="50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58"/>
      <x:c r="L100" s="58"/>
      <x:c r="M100" s="58"/>
      <x:c r="N100" s="58"/>
      <x:c r="O100" s="58"/>
      <x:c r="P100" s="58"/>
      <x:c r="Q100" s="15"/>
      <x:c r="R100" s="15"/>
      <x:c r="S100" s="15"/>
      <x:c r="T100" s="15"/>
      <x:c r="U100" s="15"/>
    </x:row>
    <x:row r="101" ht="22" customHeight="1">
      <x:c r="A101" s="50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58"/>
      <x:c r="L101" s="58"/>
      <x:c r="M101" s="58"/>
      <x:c r="N101" s="58"/>
      <x:c r="O101" s="58"/>
      <x:c r="P101" s="58"/>
      <x:c r="Q101" s="15"/>
      <x:c r="R101" s="15"/>
      <x:c r="S101" s="15"/>
      <x:c r="T101" s="15"/>
      <x:c r="U101" s="15"/>
    </x:row>
    <x:row r="102" ht="22" customHeight="1">
      <x:c r="A102" s="50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58"/>
      <x:c r="L102" s="58"/>
      <x:c r="M102" s="58"/>
      <x:c r="N102" s="58"/>
      <x:c r="O102" s="58"/>
      <x:c r="P102" s="58"/>
      <x:c r="Q102" s="15"/>
      <x:c r="R102" s="15"/>
      <x:c r="S102" s="15"/>
      <x:c r="T102" s="15"/>
      <x:c r="U102" s="15"/>
    </x:row>
    <x:row r="103" ht="22" customHeight="1">
      <x:c r="A103" s="50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58"/>
      <x:c r="L103" s="58"/>
      <x:c r="M103" s="58"/>
      <x:c r="N103" s="58"/>
      <x:c r="O103" s="58"/>
      <x:c r="P103" s="58"/>
      <x:c r="Q103" s="15"/>
      <x:c r="R103" s="15"/>
      <x:c r="S103" s="15"/>
      <x:c r="T103" s="15"/>
      <x:c r="U103" s="15"/>
    </x:row>
    <x:row r="104" ht="22" customHeight="1">
      <x:c r="A104" s="50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58"/>
      <x:c r="L104" s="58"/>
      <x:c r="M104" s="58"/>
      <x:c r="N104" s="58"/>
      <x:c r="O104" s="58"/>
      <x:c r="P104" s="58"/>
      <x:c r="Q104" s="15"/>
      <x:c r="R104" s="15"/>
      <x:c r="S104" s="15"/>
      <x:c r="T104" s="15"/>
      <x:c r="U104" s="15"/>
    </x:row>
    <x:row r="105" ht="22" customHeight="1">
      <x:c r="A105" s="50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58"/>
      <x:c r="L105" s="58"/>
      <x:c r="M105" s="58"/>
      <x:c r="N105" s="58"/>
      <x:c r="O105" s="58"/>
      <x:c r="P105" s="58"/>
      <x:c r="Q105" s="15"/>
      <x:c r="R105" s="15"/>
      <x:c r="S105" s="15"/>
      <x:c r="T105" s="15"/>
      <x:c r="U105" s="15"/>
    </x:row>
    <x:row r="106" ht="22" customHeight="1">
      <x:c r="A106" s="50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58"/>
      <x:c r="L106" s="58"/>
      <x:c r="M106" s="58"/>
      <x:c r="N106" s="58"/>
      <x:c r="O106" s="58"/>
      <x:c r="P106" s="58"/>
      <x:c r="Q106" s="15"/>
      <x:c r="R106" s="15"/>
      <x:c r="S106" s="15"/>
      <x:c r="T106" s="15"/>
      <x:c r="U106" s="15"/>
    </x:row>
    <x:row r="107" ht="22" customHeight="1">
      <x:c r="A107" s="50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58"/>
      <x:c r="L107" s="58"/>
      <x:c r="M107" s="58"/>
      <x:c r="N107" s="58"/>
      <x:c r="O107" s="58"/>
      <x:c r="P107" s="58"/>
      <x:c r="Q107" s="15"/>
      <x:c r="R107" s="15"/>
      <x:c r="S107" s="15"/>
      <x:c r="T107" s="15"/>
      <x:c r="U107" s="15"/>
    </x:row>
    <x:row r="108" ht="22" customHeight="1">
      <x:c r="A108" s="50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58"/>
      <x:c r="L108" s="58"/>
      <x:c r="M108" s="58"/>
      <x:c r="N108" s="58"/>
      <x:c r="O108" s="58"/>
      <x:c r="P108" s="58"/>
      <x:c r="Q108" s="15"/>
      <x:c r="R108" s="15"/>
      <x:c r="S108" s="15"/>
      <x:c r="T108" s="15"/>
      <x:c r="U108" s="15"/>
    </x:row>
    <x:row r="109" ht="22" customHeight="1">
      <x:c r="A109" s="50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58"/>
      <x:c r="L109" s="58"/>
      <x:c r="M109" s="58"/>
      <x:c r="N109" s="58"/>
      <x:c r="O109" s="58"/>
      <x:c r="P109" s="58"/>
      <x:c r="Q109" s="15"/>
      <x:c r="R109" s="15"/>
      <x:c r="S109" s="15"/>
      <x:c r="T109" s="15"/>
      <x:c r="U109" s="15"/>
    </x:row>
    <x:row r="110" ht="22" customHeight="1">
      <x:c r="A110" s="50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58"/>
      <x:c r="L110" s="58"/>
      <x:c r="M110" s="58"/>
      <x:c r="N110" s="58"/>
      <x:c r="O110" s="58"/>
      <x:c r="P110" s="58"/>
      <x:c r="Q110" s="15"/>
      <x:c r="R110" s="15"/>
      <x:c r="S110" s="15"/>
      <x:c r="T110" s="15"/>
      <x:c r="U110" s="15"/>
    </x:row>
    <x:row r="111" ht="22" customHeight="1">
      <x:c r="A111" s="50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58"/>
      <x:c r="L111" s="58"/>
      <x:c r="M111" s="58"/>
      <x:c r="N111" s="58"/>
      <x:c r="O111" s="58"/>
      <x:c r="P111" s="58"/>
      <x:c r="Q111" s="15"/>
      <x:c r="R111" s="15"/>
      <x:c r="S111" s="15"/>
      <x:c r="T111" s="15"/>
      <x:c r="U111" s="15"/>
    </x:row>
    <x:row r="112" ht="22" customHeight="1">
      <x:c r="A112" s="50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58"/>
      <x:c r="L112" s="58"/>
      <x:c r="M112" s="58"/>
      <x:c r="N112" s="58"/>
      <x:c r="O112" s="58"/>
      <x:c r="P112" s="58"/>
      <x:c r="Q112" s="15"/>
      <x:c r="R112" s="15"/>
      <x:c r="S112" s="15"/>
      <x:c r="T112" s="15"/>
      <x:c r="U112" s="15"/>
    </x:row>
    <x:row r="113" ht="22" customHeight="1">
      <x:c r="A113" s="50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58"/>
      <x:c r="L113" s="58"/>
      <x:c r="M113" s="58"/>
      <x:c r="N113" s="58"/>
      <x:c r="O113" s="58"/>
      <x:c r="P113" s="58"/>
      <x:c r="Q113" s="15"/>
      <x:c r="R113" s="15"/>
      <x:c r="S113" s="15"/>
      <x:c r="T113" s="15"/>
      <x:c r="U113" s="15"/>
    </x:row>
    <x:row r="114" ht="22" customHeight="1">
      <x:c r="A114" s="50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58"/>
      <x:c r="L114" s="58"/>
      <x:c r="M114" s="58"/>
      <x:c r="N114" s="58"/>
      <x:c r="O114" s="58"/>
      <x:c r="P114" s="58"/>
      <x:c r="Q114" s="15"/>
      <x:c r="R114" s="15"/>
      <x:c r="S114" s="15"/>
      <x:c r="T114" s="15"/>
      <x:c r="U114" s="15"/>
    </x:row>
    <x:row r="115" ht="22" customHeight="1">
      <x:c r="A115" s="50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58"/>
      <x:c r="L115" s="58"/>
      <x:c r="M115" s="58"/>
      <x:c r="N115" s="58"/>
      <x:c r="O115" s="58"/>
      <x:c r="P115" s="58"/>
      <x:c r="Q115" s="15"/>
      <x:c r="R115" s="15"/>
      <x:c r="S115" s="15"/>
      <x:c r="T115" s="15"/>
      <x:c r="U115" s="15"/>
    </x:row>
    <x:row r="116" ht="22" customHeight="1">
      <x:c r="A116" s="50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58"/>
      <x:c r="L116" s="58"/>
      <x:c r="M116" s="58"/>
      <x:c r="N116" s="58"/>
      <x:c r="O116" s="58"/>
      <x:c r="P116" s="58"/>
      <x:c r="Q116" s="15"/>
      <x:c r="R116" s="15"/>
      <x:c r="S116" s="15"/>
      <x:c r="T116" s="15"/>
      <x:c r="U116" s="15"/>
    </x:row>
    <x:row r="117" ht="22" customHeight="1">
      <x:c r="A117" s="50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58"/>
      <x:c r="L117" s="58"/>
      <x:c r="M117" s="58"/>
      <x:c r="N117" s="58"/>
      <x:c r="O117" s="58"/>
      <x:c r="P117" s="58"/>
      <x:c r="Q117" s="15"/>
      <x:c r="R117" s="15"/>
      <x:c r="S117" s="15"/>
      <x:c r="T117" s="15"/>
      <x:c r="U117" s="15"/>
    </x:row>
    <x:row r="118" ht="22" customHeight="1">
      <x:c r="A118" s="50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58"/>
      <x:c r="L118" s="58"/>
      <x:c r="M118" s="58"/>
      <x:c r="N118" s="58"/>
      <x:c r="O118" s="58"/>
      <x:c r="P118" s="58"/>
      <x:c r="Q118" s="15"/>
      <x:c r="R118" s="15"/>
      <x:c r="S118" s="15"/>
      <x:c r="T118" s="15"/>
      <x:c r="U118" s="15"/>
    </x:row>
    <x:row r="119" ht="22" customHeight="1">
      <x:c r="A119" s="50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58"/>
      <x:c r="L119" s="58"/>
      <x:c r="M119" s="58"/>
      <x:c r="N119" s="58"/>
      <x:c r="O119" s="58"/>
      <x:c r="P119" s="58"/>
      <x:c r="Q119" s="15"/>
      <x:c r="R119" s="15"/>
      <x:c r="S119" s="15"/>
      <x:c r="T119" s="15"/>
      <x:c r="U119" s="15"/>
    </x:row>
    <x:row r="120" ht="22" customHeight="1">
      <x:c r="A120" s="50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58"/>
      <x:c r="L120" s="58"/>
      <x:c r="M120" s="58"/>
      <x:c r="N120" s="58"/>
      <x:c r="O120" s="58"/>
      <x:c r="P120" s="58"/>
      <x:c r="Q120" s="15"/>
      <x:c r="R120" s="15"/>
      <x:c r="S120" s="15"/>
      <x:c r="T120" s="15"/>
      <x:c r="U120" s="15"/>
    </x:row>
    <x:row r="121" ht="22" customHeight="1">
      <x:c r="A121" s="50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58"/>
      <x:c r="L121" s="58"/>
      <x:c r="M121" s="58"/>
      <x:c r="N121" s="58"/>
      <x:c r="O121" s="58"/>
      <x:c r="P121" s="58"/>
      <x:c r="Q121" s="15"/>
      <x:c r="R121" s="15"/>
      <x:c r="S121" s="15"/>
      <x:c r="T121" s="15"/>
      <x:c r="U121" s="15"/>
    </x:row>
    <x:row r="122" ht="22" customHeight="1">
      <x:c r="A122" s="50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58"/>
      <x:c r="L122" s="58"/>
      <x:c r="M122" s="58"/>
      <x:c r="N122" s="58"/>
      <x:c r="O122" s="58"/>
      <x:c r="P122" s="58"/>
      <x:c r="Q122" s="15"/>
      <x:c r="R122" s="15"/>
      <x:c r="S122" s="15"/>
      <x:c r="T122" s="15"/>
      <x:c r="U122" s="15"/>
    </x:row>
    <x:row r="123" ht="22" customHeight="1">
      <x:c r="A123" s="50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58"/>
      <x:c r="L123" s="58"/>
      <x:c r="M123" s="58"/>
      <x:c r="N123" s="58"/>
      <x:c r="O123" s="58"/>
      <x:c r="P123" s="58"/>
      <x:c r="Q123" s="15"/>
      <x:c r="R123" s="15"/>
      <x:c r="S123" s="15"/>
      <x:c r="T123" s="15"/>
      <x:c r="U123" s="15"/>
    </x:row>
    <x:row r="124" ht="22" customHeight="1">
      <x:c r="A124" s="50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58"/>
      <x:c r="L124" s="58"/>
      <x:c r="M124" s="58"/>
      <x:c r="N124" s="58"/>
      <x:c r="O124" s="58"/>
      <x:c r="P124" s="58"/>
      <x:c r="Q124" s="15"/>
      <x:c r="R124" s="15"/>
      <x:c r="S124" s="15"/>
      <x:c r="T124" s="15"/>
      <x:c r="U124" s="15"/>
    </x:row>
    <x:row r="125" ht="22" customHeight="1">
      <x:c r="A125" s="50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58"/>
      <x:c r="L125" s="58"/>
      <x:c r="M125" s="58"/>
      <x:c r="N125" s="58"/>
      <x:c r="O125" s="58"/>
      <x:c r="P125" s="58"/>
      <x:c r="Q125" s="15"/>
      <x:c r="R125" s="15"/>
      <x:c r="S125" s="15"/>
      <x:c r="T125" s="15"/>
      <x:c r="U125" s="15"/>
    </x:row>
    <x:row r="126" ht="22" customHeight="1">
      <x:c r="A126" s="50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58"/>
      <x:c r="L126" s="58"/>
      <x:c r="M126" s="58"/>
      <x:c r="N126" s="58"/>
      <x:c r="O126" s="58"/>
      <x:c r="P126" s="58"/>
      <x:c r="Q126" s="15"/>
      <x:c r="R126" s="15"/>
      <x:c r="S126" s="15"/>
      <x:c r="T126" s="15"/>
      <x:c r="U126" s="15"/>
    </x:row>
    <x:row r="127" ht="22" customHeight="1">
      <x:c r="A127" s="50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58"/>
      <x:c r="L127" s="58"/>
      <x:c r="M127" s="58"/>
      <x:c r="N127" s="58"/>
      <x:c r="O127" s="58"/>
      <x:c r="P127" s="58"/>
      <x:c r="Q127" s="15"/>
      <x:c r="R127" s="15"/>
      <x:c r="S127" s="15"/>
      <x:c r="T127" s="15"/>
      <x:c r="U127" s="15"/>
    </x:row>
    <x:row r="128" ht="22" customHeight="1">
      <x:c r="A128" s="50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58"/>
      <x:c r="L128" s="58"/>
      <x:c r="M128" s="58"/>
      <x:c r="N128" s="58"/>
      <x:c r="O128" s="58"/>
      <x:c r="P128" s="58"/>
      <x:c r="Q128" s="15"/>
      <x:c r="R128" s="15"/>
      <x:c r="S128" s="15"/>
      <x:c r="T128" s="15"/>
      <x:c r="U128" s="15"/>
    </x:row>
    <x:row r="129" ht="22" customHeight="1">
      <x:c r="A129" s="50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58"/>
      <x:c r="L129" s="58"/>
      <x:c r="M129" s="58"/>
      <x:c r="N129" s="58"/>
      <x:c r="O129" s="58"/>
      <x:c r="P129" s="58"/>
      <x:c r="Q129" s="15"/>
      <x:c r="R129" s="15"/>
      <x:c r="S129" s="15"/>
      <x:c r="T129" s="15"/>
      <x:c r="U129" s="15"/>
    </x:row>
    <x:row r="130" ht="22" customHeight="1">
      <x:c r="A130" s="50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58"/>
      <x:c r="L130" s="58"/>
      <x:c r="M130" s="58"/>
      <x:c r="N130" s="58"/>
      <x:c r="O130" s="58"/>
      <x:c r="P130" s="58"/>
      <x:c r="Q130" s="15"/>
      <x:c r="R130" s="15"/>
      <x:c r="S130" s="15"/>
      <x:c r="T130" s="15"/>
      <x:c r="U130" s="15"/>
    </x:row>
    <x:row r="131" ht="22" customHeight="1">
      <x:c r="A131" s="50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58"/>
      <x:c r="L131" s="58"/>
      <x:c r="M131" s="58"/>
      <x:c r="N131" s="58"/>
      <x:c r="O131" s="58"/>
      <x:c r="P131" s="58"/>
      <x:c r="Q131" s="15"/>
      <x:c r="R131" s="15"/>
      <x:c r="S131" s="15"/>
      <x:c r="T131" s="15"/>
      <x:c r="U131" s="15"/>
    </x:row>
    <x:row r="132" ht="22" customHeight="1">
      <x:c r="A132" s="50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58"/>
      <x:c r="L132" s="58"/>
      <x:c r="M132" s="58"/>
      <x:c r="N132" s="58"/>
      <x:c r="O132" s="58"/>
      <x:c r="P132" s="58"/>
      <x:c r="Q132" s="15"/>
      <x:c r="R132" s="15"/>
      <x:c r="S132" s="15"/>
      <x:c r="T132" s="15"/>
      <x:c r="U132" s="15"/>
    </x:row>
    <x:row r="133" ht="22" customHeight="1">
      <x:c r="A133" s="50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58"/>
      <x:c r="L133" s="58"/>
      <x:c r="M133" s="58"/>
      <x:c r="N133" s="58"/>
      <x:c r="O133" s="58"/>
      <x:c r="P133" s="58"/>
      <x:c r="Q133" s="15"/>
      <x:c r="R133" s="15"/>
      <x:c r="S133" s="15"/>
      <x:c r="T133" s="15"/>
      <x:c r="U133" s="15"/>
    </x:row>
    <x:row r="134" ht="22" customHeight="1">
      <x:c r="A134" s="50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58"/>
      <x:c r="L134" s="58"/>
      <x:c r="M134" s="58"/>
      <x:c r="N134" s="58"/>
      <x:c r="O134" s="58"/>
      <x:c r="P134" s="58"/>
      <x:c r="Q134" s="15"/>
      <x:c r="R134" s="15"/>
      <x:c r="S134" s="15"/>
      <x:c r="T134" s="15"/>
      <x:c r="U134" s="15"/>
    </x:row>
    <x:row r="135" ht="22" customHeight="1">
      <x:c r="A135" s="50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58"/>
      <x:c r="L135" s="58"/>
      <x:c r="M135" s="58"/>
      <x:c r="N135" s="58"/>
      <x:c r="O135" s="58"/>
      <x:c r="P135" s="58"/>
      <x:c r="Q135" s="15"/>
      <x:c r="R135" s="15"/>
      <x:c r="S135" s="15"/>
      <x:c r="T135" s="15"/>
      <x:c r="U135" s="15"/>
    </x:row>
    <x:row r="136" ht="22" customHeight="1">
      <x:c r="A136" s="50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58"/>
      <x:c r="L136" s="58"/>
      <x:c r="M136" s="58"/>
      <x:c r="N136" s="58"/>
      <x:c r="O136" s="58"/>
      <x:c r="P136" s="58"/>
      <x:c r="Q136" s="15"/>
      <x:c r="R136" s="15"/>
      <x:c r="S136" s="15"/>
      <x:c r="T136" s="15"/>
      <x:c r="U136" s="15"/>
    </x:row>
    <x:row r="137" ht="22" customHeight="1">
      <x:c r="A137" s="50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58"/>
      <x:c r="L137" s="58"/>
      <x:c r="M137" s="58"/>
      <x:c r="N137" s="58"/>
      <x:c r="O137" s="58"/>
      <x:c r="P137" s="58"/>
      <x:c r="Q137" s="15"/>
      <x:c r="R137" s="15"/>
      <x:c r="S137" s="15"/>
      <x:c r="T137" s="15"/>
      <x:c r="U137" s="15"/>
    </x:row>
    <x:row r="138" ht="22" customHeight="1">
      <x:c r="A138" s="50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58"/>
      <x:c r="L138" s="58"/>
      <x:c r="M138" s="58"/>
      <x:c r="N138" s="58"/>
      <x:c r="O138" s="58"/>
      <x:c r="P138" s="58"/>
      <x:c r="Q138" s="15"/>
      <x:c r="R138" s="15"/>
      <x:c r="S138" s="15"/>
      <x:c r="T138" s="15"/>
      <x:c r="U138" s="15"/>
    </x:row>
    <x:row r="139" ht="22" customHeight="1">
      <x:c r="A139" s="50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58"/>
      <x:c r="L139" s="58"/>
      <x:c r="M139" s="58"/>
      <x:c r="N139" s="58"/>
      <x:c r="O139" s="58"/>
      <x:c r="P139" s="58"/>
      <x:c r="Q139" s="15"/>
      <x:c r="R139" s="15"/>
      <x:c r="S139" s="15"/>
      <x:c r="T139" s="15"/>
      <x:c r="U139" s="15"/>
    </x:row>
    <x:row r="140" ht="22" customHeight="1">
      <x:c r="A140" s="50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58"/>
      <x:c r="L140" s="58"/>
      <x:c r="M140" s="58"/>
      <x:c r="N140" s="58"/>
      <x:c r="O140" s="58"/>
      <x:c r="P140" s="58"/>
      <x:c r="Q140" s="15"/>
      <x:c r="R140" s="15"/>
      <x:c r="S140" s="15"/>
      <x:c r="T140" s="15"/>
      <x:c r="U140" s="15"/>
    </x:row>
    <x:row r="141" ht="22" customHeight="1">
      <x:c r="A141" s="50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58"/>
      <x:c r="L141" s="58"/>
      <x:c r="M141" s="58"/>
      <x:c r="N141" s="58"/>
      <x:c r="O141" s="58"/>
      <x:c r="P141" s="58"/>
      <x:c r="Q141" s="15"/>
      <x:c r="R141" s="15"/>
      <x:c r="S141" s="15"/>
      <x:c r="T141" s="15"/>
      <x:c r="U141" s="15"/>
    </x:row>
    <x:row r="142" ht="22" customHeight="1">
      <x:c r="A142" s="50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58"/>
      <x:c r="L142" s="58"/>
      <x:c r="M142" s="58"/>
      <x:c r="N142" s="58"/>
      <x:c r="O142" s="58"/>
      <x:c r="P142" s="58"/>
      <x:c r="Q142" s="15"/>
      <x:c r="R142" s="15"/>
      <x:c r="S142" s="15"/>
      <x:c r="T142" s="15"/>
      <x:c r="U142" s="15"/>
    </x:row>
    <x:row r="143" ht="22" customHeight="1">
      <x:c r="A143" s="50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58"/>
      <x:c r="L143" s="58"/>
      <x:c r="M143" s="58"/>
      <x:c r="N143" s="58"/>
      <x:c r="O143" s="58"/>
      <x:c r="P143" s="58"/>
      <x:c r="Q143" s="15"/>
      <x:c r="R143" s="15"/>
      <x:c r="S143" s="15"/>
      <x:c r="T143" s="15"/>
      <x:c r="U143" s="15"/>
    </x:row>
    <x:row r="144" ht="22" customHeight="1">
      <x:c r="A144" s="50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58"/>
      <x:c r="L144" s="58"/>
      <x:c r="M144" s="58"/>
      <x:c r="N144" s="58"/>
      <x:c r="O144" s="58"/>
      <x:c r="P144" s="58"/>
      <x:c r="Q144" s="15"/>
      <x:c r="R144" s="15"/>
      <x:c r="S144" s="15"/>
      <x:c r="T144" s="15"/>
      <x:c r="U144" s="15"/>
    </x:row>
    <x:row r="145" ht="22" customHeight="1">
      <x:c r="A145" s="50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58"/>
      <x:c r="L145" s="58"/>
      <x:c r="M145" s="58"/>
      <x:c r="N145" s="58"/>
      <x:c r="O145" s="58"/>
      <x:c r="P145" s="58"/>
      <x:c r="Q145" s="15"/>
      <x:c r="R145" s="15"/>
      <x:c r="S145" s="15"/>
      <x:c r="T145" s="15"/>
      <x:c r="U145" s="15"/>
    </x:row>
    <x:row r="146" ht="22" customHeight="1">
      <x:c r="A146" s="50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58"/>
      <x:c r="L146" s="58"/>
      <x:c r="M146" s="58"/>
      <x:c r="N146" s="58"/>
      <x:c r="O146" s="58"/>
      <x:c r="P146" s="58"/>
      <x:c r="Q146" s="15"/>
      <x:c r="R146" s="15"/>
      <x:c r="S146" s="15"/>
      <x:c r="T146" s="15"/>
      <x:c r="U146" s="15"/>
    </x:row>
    <x:row r="147" ht="22" customHeight="1">
      <x:c r="A147" s="50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58"/>
      <x:c r="L147" s="58"/>
      <x:c r="M147" s="58"/>
      <x:c r="N147" s="58"/>
      <x:c r="O147" s="58"/>
      <x:c r="P147" s="58"/>
      <x:c r="Q147" s="15"/>
      <x:c r="R147" s="15"/>
      <x:c r="S147" s="15"/>
      <x:c r="T147" s="15"/>
      <x:c r="U147" s="15"/>
    </x:row>
    <x:row r="148" ht="22" customHeight="1">
      <x:c r="A148" s="50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58"/>
      <x:c r="L148" s="58"/>
      <x:c r="M148" s="58"/>
      <x:c r="N148" s="58"/>
      <x:c r="O148" s="58"/>
      <x:c r="P148" s="58"/>
      <x:c r="Q148" s="15"/>
      <x:c r="R148" s="15"/>
      <x:c r="S148" s="15"/>
      <x:c r="T148" s="15"/>
      <x:c r="U148" s="15"/>
    </x:row>
    <x:row r="149" ht="22" customHeight="1">
      <x:c r="A149" s="50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58"/>
      <x:c r="L149" s="58"/>
      <x:c r="M149" s="58"/>
      <x:c r="N149" s="58"/>
      <x:c r="O149" s="58"/>
      <x:c r="P149" s="58"/>
      <x:c r="Q149" s="15"/>
      <x:c r="R149" s="15"/>
      <x:c r="S149" s="15"/>
      <x:c r="T149" s="15"/>
      <x:c r="U149" s="15"/>
    </x:row>
    <x:row r="150" ht="22" customHeight="1">
      <x:c r="A150" s="50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58"/>
      <x:c r="L150" s="58"/>
      <x:c r="M150" s="58"/>
      <x:c r="N150" s="58"/>
      <x:c r="O150" s="58"/>
      <x:c r="P150" s="58"/>
      <x:c r="Q150" s="15"/>
      <x:c r="R150" s="15"/>
      <x:c r="S150" s="15"/>
      <x:c r="T150" s="15"/>
      <x:c r="U150" s="15"/>
    </x:row>
    <x:row r="151" ht="22" customHeight="1">
      <x:c r="A151" s="50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58"/>
      <x:c r="L151" s="58"/>
      <x:c r="M151" s="58"/>
      <x:c r="N151" s="58"/>
      <x:c r="O151" s="58"/>
      <x:c r="P151" s="58"/>
      <x:c r="Q151" s="15"/>
      <x:c r="R151" s="15"/>
      <x:c r="S151" s="15"/>
      <x:c r="T151" s="15"/>
      <x:c r="U151" s="15"/>
    </x:row>
    <x:row r="152" ht="22" customHeight="1">
      <x:c r="A152" s="50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58"/>
      <x:c r="L152" s="58"/>
      <x:c r="M152" s="58"/>
      <x:c r="N152" s="58"/>
      <x:c r="O152" s="58"/>
      <x:c r="P152" s="58"/>
      <x:c r="Q152" s="15"/>
      <x:c r="R152" s="15"/>
      <x:c r="S152" s="15"/>
      <x:c r="T152" s="15"/>
      <x:c r="U152" s="15"/>
    </x:row>
    <x:row r="153" ht="22" customHeight="1">
      <x:c r="A153" s="50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58"/>
      <x:c r="L153" s="58"/>
      <x:c r="M153" s="58"/>
      <x:c r="N153" s="58"/>
      <x:c r="O153" s="58"/>
      <x:c r="P153" s="58"/>
      <x:c r="Q153" s="15"/>
      <x:c r="R153" s="15"/>
      <x:c r="S153" s="15"/>
      <x:c r="T153" s="15"/>
      <x:c r="U153" s="15"/>
    </x:row>
    <x:row r="154" ht="22" customHeight="1">
      <x:c r="A154" s="50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58"/>
      <x:c r="L154" s="58"/>
      <x:c r="M154" s="58"/>
      <x:c r="N154" s="58"/>
      <x:c r="O154" s="58"/>
      <x:c r="P154" s="58"/>
      <x:c r="Q154" s="15"/>
      <x:c r="R154" s="15"/>
      <x:c r="S154" s="15"/>
      <x:c r="T154" s="15"/>
      <x:c r="U154" s="15"/>
    </x:row>
    <x:row r="155" ht="22" customHeight="1">
      <x:c r="A155" s="50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58"/>
      <x:c r="L155" s="58"/>
      <x:c r="M155" s="58"/>
      <x:c r="N155" s="58"/>
      <x:c r="O155" s="58"/>
      <x:c r="P155" s="58"/>
      <x:c r="Q155" s="15"/>
      <x:c r="R155" s="15"/>
      <x:c r="S155" s="15"/>
      <x:c r="T155" s="15"/>
      <x:c r="U155" s="15"/>
    </x:row>
    <x:row r="156" ht="22" customHeight="1">
      <x:c r="A156" s="50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58"/>
      <x:c r="L156" s="58"/>
      <x:c r="M156" s="58"/>
      <x:c r="N156" s="58"/>
      <x:c r="O156" s="58"/>
      <x:c r="P156" s="58"/>
      <x:c r="Q156" s="15"/>
      <x:c r="R156" s="15"/>
      <x:c r="S156" s="15"/>
      <x:c r="T156" s="15"/>
      <x:c r="U156" s="15"/>
    </x:row>
    <x:row r="157" ht="22" customHeight="1">
      <x:c r="A157" s="50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58"/>
      <x:c r="L157" s="58"/>
      <x:c r="M157" s="58"/>
      <x:c r="N157" s="58"/>
      <x:c r="O157" s="58"/>
      <x:c r="P157" s="58"/>
      <x:c r="Q157" s="15"/>
      <x:c r="R157" s="15"/>
      <x:c r="S157" s="15"/>
      <x:c r="T157" s="15"/>
      <x:c r="U157" s="15"/>
    </x:row>
    <x:row r="158" ht="22" customHeight="1">
      <x:c r="A158" s="50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58"/>
      <x:c r="L158" s="58"/>
      <x:c r="M158" s="58"/>
      <x:c r="N158" s="58"/>
      <x:c r="O158" s="58"/>
      <x:c r="P158" s="58"/>
      <x:c r="Q158" s="15"/>
      <x:c r="R158" s="15"/>
      <x:c r="S158" s="15"/>
      <x:c r="T158" s="15"/>
      <x:c r="U158" s="15"/>
    </x:row>
    <x:row r="159" ht="22" customHeight="1">
      <x:c r="A159" s="50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58"/>
      <x:c r="L159" s="58"/>
      <x:c r="M159" s="58"/>
      <x:c r="N159" s="58"/>
      <x:c r="O159" s="58"/>
      <x:c r="P159" s="58"/>
      <x:c r="Q159" s="15"/>
      <x:c r="R159" s="15"/>
      <x:c r="S159" s="15"/>
      <x:c r="T159" s="15"/>
      <x:c r="U159" s="15"/>
    </x:row>
    <x:row r="160" ht="22" customHeight="1">
      <x:c r="A160" s="50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58"/>
      <x:c r="L160" s="58"/>
      <x:c r="M160" s="58"/>
      <x:c r="N160" s="58"/>
      <x:c r="O160" s="58"/>
      <x:c r="P160" s="58"/>
      <x:c r="Q160" s="15"/>
      <x:c r="R160" s="15"/>
      <x:c r="S160" s="15"/>
      <x:c r="T160" s="15"/>
      <x:c r="U160" s="15"/>
    </x:row>
    <x:row r="161" ht="22" customHeight="1">
      <x:c r="A161" s="50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58"/>
      <x:c r="L161" s="58"/>
      <x:c r="M161" s="58"/>
      <x:c r="N161" s="58"/>
      <x:c r="O161" s="58"/>
      <x:c r="P161" s="58"/>
      <x:c r="Q161" s="15"/>
      <x:c r="R161" s="15"/>
      <x:c r="S161" s="15"/>
      <x:c r="T161" s="15"/>
      <x:c r="U161" s="15"/>
    </x:row>
    <x:row r="162" ht="22" customHeight="1">
      <x:c r="A162" s="50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58"/>
      <x:c r="L162" s="58"/>
      <x:c r="M162" s="58"/>
      <x:c r="N162" s="58"/>
      <x:c r="O162" s="58"/>
      <x:c r="P162" s="58"/>
      <x:c r="Q162" s="15"/>
      <x:c r="R162" s="15"/>
      <x:c r="S162" s="15"/>
      <x:c r="T162" s="15"/>
      <x:c r="U162" s="15"/>
    </x:row>
    <x:row r="163" ht="22" customHeight="1">
      <x:c r="A163" s="50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58"/>
      <x:c r="L163" s="58"/>
      <x:c r="M163" s="58"/>
      <x:c r="N163" s="58"/>
      <x:c r="O163" s="58"/>
      <x:c r="P163" s="58"/>
      <x:c r="Q163" s="15"/>
      <x:c r="R163" s="15"/>
      <x:c r="S163" s="15"/>
      <x:c r="T163" s="15"/>
      <x:c r="U163" s="15"/>
    </x:row>
    <x:row r="164" ht="22" customHeight="1">
      <x:c r="A164" s="50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58"/>
      <x:c r="L164" s="58"/>
      <x:c r="M164" s="58"/>
      <x:c r="N164" s="58"/>
      <x:c r="O164" s="58"/>
      <x:c r="P164" s="58"/>
      <x:c r="Q164" s="15"/>
      <x:c r="R164" s="15"/>
      <x:c r="S164" s="15"/>
      <x:c r="T164" s="15"/>
      <x:c r="U164" s="15"/>
    </x:row>
    <x:row r="165" ht="22" customHeight="1">
      <x:c r="A165" s="50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58"/>
      <x:c r="L165" s="58"/>
      <x:c r="M165" s="58"/>
      <x:c r="N165" s="58"/>
      <x:c r="O165" s="58"/>
      <x:c r="P165" s="58"/>
      <x:c r="Q165" s="15"/>
      <x:c r="R165" s="15"/>
      <x:c r="S165" s="15"/>
      <x:c r="T165" s="15"/>
      <x:c r="U165" s="15"/>
    </x:row>
    <x:row r="166" ht="22" customHeight="1">
      <x:c r="A166" s="50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58"/>
      <x:c r="L166" s="58"/>
      <x:c r="M166" s="58"/>
      <x:c r="N166" s="58"/>
      <x:c r="O166" s="58"/>
      <x:c r="P166" s="58"/>
      <x:c r="Q166" s="15"/>
      <x:c r="R166" s="15"/>
      <x:c r="S166" s="15"/>
      <x:c r="T166" s="15"/>
      <x:c r="U166" s="15"/>
    </x:row>
    <x:row r="167" ht="22" customHeight="1">
      <x:c r="A167" s="50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58"/>
      <x:c r="L167" s="58"/>
      <x:c r="M167" s="58"/>
      <x:c r="N167" s="58"/>
      <x:c r="O167" s="58"/>
      <x:c r="P167" s="58"/>
      <x:c r="Q167" s="15"/>
      <x:c r="R167" s="15"/>
      <x:c r="S167" s="15"/>
      <x:c r="T167" s="15"/>
      <x:c r="U167" s="15"/>
    </x:row>
    <x:row r="168" ht="22" customHeight="1">
      <x:c r="A168" s="50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58"/>
      <x:c r="L168" s="58"/>
      <x:c r="M168" s="58"/>
      <x:c r="N168" s="58"/>
      <x:c r="O168" s="58"/>
      <x:c r="P168" s="58"/>
      <x:c r="Q168" s="15"/>
      <x:c r="R168" s="15"/>
      <x:c r="S168" s="15"/>
      <x:c r="T168" s="15"/>
      <x:c r="U168" s="15"/>
    </x:row>
    <x:row r="169" ht="22" customHeight="1">
      <x:c r="A169" s="50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58"/>
      <x:c r="L169" s="58"/>
      <x:c r="M169" s="58"/>
      <x:c r="N169" s="58"/>
      <x:c r="O169" s="58"/>
      <x:c r="P169" s="58"/>
      <x:c r="Q169" s="15"/>
      <x:c r="R169" s="15"/>
      <x:c r="S169" s="15"/>
      <x:c r="T169" s="15"/>
      <x:c r="U169" s="15"/>
    </x:row>
    <x:row r="170" ht="22" customHeight="1">
      <x:c r="A170" s="50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58"/>
      <x:c r="L170" s="58"/>
      <x:c r="M170" s="58"/>
      <x:c r="N170" s="58"/>
      <x:c r="O170" s="58"/>
      <x:c r="P170" s="58"/>
      <x:c r="Q170" s="15"/>
      <x:c r="R170" s="15"/>
      <x:c r="S170" s="15"/>
      <x:c r="T170" s="15"/>
      <x:c r="U170" s="15"/>
    </x:row>
    <x:row r="171" ht="22" customHeight="1">
      <x:c r="A171" s="50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58"/>
      <x:c r="L171" s="58"/>
      <x:c r="M171" s="58"/>
      <x:c r="N171" s="58"/>
      <x:c r="O171" s="58"/>
      <x:c r="P171" s="58"/>
      <x:c r="Q171" s="15"/>
      <x:c r="R171" s="15"/>
      <x:c r="S171" s="15"/>
      <x:c r="T171" s="15"/>
      <x:c r="U171" s="15"/>
    </x:row>
    <x:row r="172" ht="22" customHeight="1">
      <x:c r="A172" s="50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58"/>
      <x:c r="L172" s="58"/>
      <x:c r="M172" s="58"/>
      <x:c r="N172" s="58"/>
      <x:c r="O172" s="58"/>
      <x:c r="P172" s="58"/>
      <x:c r="Q172" s="15"/>
      <x:c r="R172" s="15"/>
      <x:c r="S172" s="15"/>
      <x:c r="T172" s="15"/>
      <x:c r="U172" s="15"/>
    </x:row>
    <x:row r="173" ht="22" customHeight="1">
      <x:c r="A173" s="50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58"/>
      <x:c r="L173" s="58"/>
      <x:c r="M173" s="58"/>
      <x:c r="N173" s="58"/>
      <x:c r="O173" s="58"/>
      <x:c r="P173" s="58"/>
      <x:c r="Q173" s="15"/>
      <x:c r="R173" s="15"/>
      <x:c r="S173" s="15"/>
      <x:c r="T173" s="15"/>
      <x:c r="U173" s="15"/>
    </x:row>
    <x:row r="174" ht="22" customHeight="1">
      <x:c r="A174" s="50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58"/>
      <x:c r="L174" s="58"/>
      <x:c r="M174" s="58"/>
      <x:c r="N174" s="58"/>
      <x:c r="O174" s="58"/>
      <x:c r="P174" s="58"/>
      <x:c r="Q174" s="15"/>
      <x:c r="R174" s="15"/>
      <x:c r="S174" s="15"/>
      <x:c r="T174" s="15"/>
      <x:c r="U174" s="15"/>
    </x:row>
    <x:row r="175" ht="22" customHeight="1">
      <x:c r="A175" s="50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58"/>
      <x:c r="L175" s="58"/>
      <x:c r="M175" s="58"/>
      <x:c r="N175" s="58"/>
      <x:c r="O175" s="58"/>
      <x:c r="P175" s="58"/>
      <x:c r="Q175" s="15"/>
      <x:c r="R175" s="15"/>
      <x:c r="S175" s="15"/>
      <x:c r="T175" s="15"/>
      <x:c r="U175" s="15"/>
    </x:row>
    <x:row r="176" ht="22" customHeight="1">
      <x:c r="A176" s="50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58"/>
      <x:c r="L176" s="58"/>
      <x:c r="M176" s="58"/>
      <x:c r="N176" s="58"/>
      <x:c r="O176" s="58"/>
      <x:c r="P176" s="58"/>
      <x:c r="Q176" s="15"/>
      <x:c r="R176" s="15"/>
      <x:c r="S176" s="15"/>
      <x:c r="T176" s="15"/>
      <x:c r="U176" s="15"/>
    </x:row>
    <x:row r="177" ht="22" customHeight="1">
      <x:c r="A177" s="50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58"/>
      <x:c r="L177" s="58"/>
      <x:c r="M177" s="58"/>
      <x:c r="N177" s="58"/>
      <x:c r="O177" s="58"/>
      <x:c r="P177" s="58"/>
      <x:c r="Q177" s="15"/>
      <x:c r="R177" s="15"/>
      <x:c r="S177" s="15"/>
      <x:c r="T177" s="15"/>
      <x:c r="U177" s="15"/>
    </x:row>
    <x:row r="178" ht="22" customHeight="1">
      <x:c r="A178" s="50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58"/>
      <x:c r="L178" s="58"/>
      <x:c r="M178" s="58"/>
      <x:c r="N178" s="58"/>
      <x:c r="O178" s="58"/>
      <x:c r="P178" s="58"/>
      <x:c r="Q178" s="15"/>
      <x:c r="R178" s="15"/>
      <x:c r="S178" s="15"/>
      <x:c r="T178" s="15"/>
      <x:c r="U178" s="15"/>
    </x:row>
    <x:row r="179" ht="22" customHeight="1">
      <x:c r="A179" s="50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58"/>
      <x:c r="L179" s="58"/>
      <x:c r="M179" s="58"/>
      <x:c r="N179" s="58"/>
      <x:c r="O179" s="58"/>
      <x:c r="P179" s="58"/>
      <x:c r="Q179" s="15"/>
      <x:c r="R179" s="15"/>
      <x:c r="S179" s="15"/>
      <x:c r="T179" s="15"/>
      <x:c r="U179" s="15"/>
    </x:row>
    <x:row r="180" ht="22" customHeight="1">
      <x:c r="A180" s="50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58"/>
      <x:c r="L180" s="58"/>
      <x:c r="M180" s="58"/>
      <x:c r="N180" s="58"/>
      <x:c r="O180" s="58"/>
      <x:c r="P180" s="58"/>
      <x:c r="Q180" s="15"/>
      <x:c r="R180" s="15"/>
      <x:c r="S180" s="15"/>
      <x:c r="T180" s="15"/>
      <x:c r="U180" s="15"/>
    </x:row>
    <x:row r="181" ht="22" customHeight="1">
      <x:c r="A181" s="50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58"/>
      <x:c r="L181" s="58"/>
      <x:c r="M181" s="58"/>
      <x:c r="N181" s="58"/>
      <x:c r="O181" s="58"/>
      <x:c r="P181" s="58"/>
      <x:c r="Q181" s="15"/>
      <x:c r="R181" s="15"/>
      <x:c r="S181" s="15"/>
      <x:c r="T181" s="15"/>
      <x:c r="U181" s="15"/>
    </x:row>
    <x:row r="182" ht="22" customHeight="1">
      <x:c r="A182" s="50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58"/>
      <x:c r="L182" s="58"/>
      <x:c r="M182" s="58"/>
      <x:c r="N182" s="58"/>
      <x:c r="O182" s="58"/>
      <x:c r="P182" s="58"/>
      <x:c r="Q182" s="15"/>
      <x:c r="R182" s="15"/>
      <x:c r="S182" s="15"/>
      <x:c r="T182" s="15"/>
      <x:c r="U182" s="15"/>
    </x:row>
    <x:row r="183" ht="22" customHeight="1">
      <x:c r="A183" s="50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58"/>
      <x:c r="L183" s="58"/>
      <x:c r="M183" s="58"/>
      <x:c r="N183" s="58"/>
      <x:c r="O183" s="58"/>
      <x:c r="P183" s="58"/>
      <x:c r="Q183" s="15"/>
      <x:c r="R183" s="15"/>
      <x:c r="S183" s="15"/>
      <x:c r="T183" s="15"/>
      <x:c r="U183" s="15"/>
    </x:row>
    <x:row r="184" ht="22" customHeight="1">
      <x:c r="A184" s="50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58"/>
      <x:c r="L184" s="58"/>
      <x:c r="M184" s="58"/>
      <x:c r="N184" s="58"/>
      <x:c r="O184" s="58"/>
      <x:c r="P184" s="58"/>
      <x:c r="Q184" s="15"/>
      <x:c r="R184" s="15"/>
      <x:c r="S184" s="15"/>
      <x:c r="T184" s="15"/>
      <x:c r="U184" s="15"/>
    </x:row>
    <x:row r="185" ht="22" customHeight="1">
      <x:c r="A185" s="50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58"/>
      <x:c r="L185" s="58"/>
      <x:c r="M185" s="58"/>
      <x:c r="N185" s="58"/>
      <x:c r="O185" s="58"/>
      <x:c r="P185" s="58"/>
      <x:c r="Q185" s="15"/>
      <x:c r="R185" s="15"/>
      <x:c r="S185" s="15"/>
      <x:c r="T185" s="15"/>
      <x:c r="U185" s="15"/>
    </x:row>
    <x:row r="186" ht="22" customHeight="1">
      <x:c r="A186" s="50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58"/>
      <x:c r="L186" s="58"/>
      <x:c r="M186" s="58"/>
      <x:c r="N186" s="58"/>
      <x:c r="O186" s="58"/>
      <x:c r="P186" s="58"/>
      <x:c r="Q186" s="15"/>
      <x:c r="R186" s="15"/>
      <x:c r="S186" s="15"/>
      <x:c r="T186" s="15"/>
      <x:c r="U186" s="15"/>
    </x:row>
    <x:row r="187" ht="22" customHeight="1">
      <x:c r="A187" s="50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58"/>
      <x:c r="L187" s="58"/>
      <x:c r="M187" s="58"/>
      <x:c r="N187" s="58"/>
      <x:c r="O187" s="58"/>
      <x:c r="P187" s="58"/>
      <x:c r="Q187" s="15"/>
      <x:c r="R187" s="15"/>
      <x:c r="S187" s="15"/>
      <x:c r="T187" s="15"/>
      <x:c r="U187" s="15"/>
    </x:row>
    <x:row r="188" ht="22" customHeight="1">
      <x:c r="A188" s="50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58"/>
      <x:c r="L188" s="58"/>
      <x:c r="M188" s="58"/>
      <x:c r="N188" s="58"/>
      <x:c r="O188" s="58"/>
      <x:c r="P188" s="58"/>
      <x:c r="Q188" s="15"/>
      <x:c r="R188" s="15"/>
      <x:c r="S188" s="15"/>
      <x:c r="T188" s="15"/>
      <x:c r="U188" s="15"/>
    </x:row>
    <x:row r="189" ht="22" customHeight="1">
      <x:c r="A189" s="50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58"/>
      <x:c r="L189" s="58"/>
      <x:c r="M189" s="58"/>
      <x:c r="N189" s="58"/>
      <x:c r="O189" s="58"/>
      <x:c r="P189" s="58"/>
      <x:c r="Q189" s="15"/>
      <x:c r="R189" s="15"/>
      <x:c r="S189" s="15"/>
      <x:c r="T189" s="15"/>
      <x:c r="U189" s="15"/>
    </x:row>
    <x:row r="190" ht="22" customHeight="1">
      <x:c r="A190" s="50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58"/>
      <x:c r="L190" s="58"/>
      <x:c r="M190" s="58"/>
      <x:c r="N190" s="58"/>
      <x:c r="O190" s="58"/>
      <x:c r="P190" s="58"/>
      <x:c r="Q190" s="15"/>
      <x:c r="R190" s="15"/>
      <x:c r="S190" s="15"/>
      <x:c r="T190" s="15"/>
      <x:c r="U190" s="15"/>
    </x:row>
    <x:row r="191" ht="22" customHeight="1">
      <x:c r="A191" s="50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58"/>
      <x:c r="L191" s="58"/>
      <x:c r="M191" s="58"/>
      <x:c r="N191" s="58"/>
      <x:c r="O191" s="58"/>
      <x:c r="P191" s="58"/>
      <x:c r="Q191" s="15"/>
      <x:c r="R191" s="15"/>
      <x:c r="S191" s="15"/>
      <x:c r="T191" s="15"/>
      <x:c r="U191" s="15"/>
    </x:row>
    <x:row r="192" ht="22" customHeight="1">
      <x:c r="A192" s="50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58"/>
      <x:c r="L192" s="58"/>
      <x:c r="M192" s="58"/>
      <x:c r="N192" s="58"/>
      <x:c r="O192" s="58"/>
      <x:c r="P192" s="58"/>
      <x:c r="Q192" s="15"/>
      <x:c r="R192" s="15"/>
      <x:c r="S192" s="15"/>
      <x:c r="T192" s="15"/>
      <x:c r="U192" s="15"/>
    </x:row>
    <x:row r="193" ht="22" customHeight="1">
      <x:c r="A193" s="50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58"/>
      <x:c r="L193" s="58"/>
      <x:c r="M193" s="58"/>
      <x:c r="N193" s="58"/>
      <x:c r="O193" s="58"/>
      <x:c r="P193" s="58"/>
      <x:c r="Q193" s="15"/>
      <x:c r="R193" s="15"/>
      <x:c r="S193" s="15"/>
      <x:c r="T193" s="15"/>
      <x:c r="U193" s="15"/>
    </x:row>
    <x:row r="194" ht="22" customHeight="1">
      <x:c r="A194" s="50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58"/>
      <x:c r="L194" s="58"/>
      <x:c r="M194" s="58"/>
      <x:c r="N194" s="58"/>
      <x:c r="O194" s="58"/>
      <x:c r="P194" s="58"/>
      <x:c r="Q194" s="15"/>
      <x:c r="R194" s="15"/>
      <x:c r="S194" s="15"/>
      <x:c r="T194" s="15"/>
      <x:c r="U194" s="15"/>
    </x:row>
    <x:row r="195" ht="22" customHeight="1">
      <x:c r="A195" s="50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58"/>
      <x:c r="L195" s="58"/>
      <x:c r="M195" s="58"/>
      <x:c r="N195" s="58"/>
      <x:c r="O195" s="58"/>
      <x:c r="P195" s="58"/>
      <x:c r="Q195" s="15"/>
      <x:c r="R195" s="15"/>
      <x:c r="S195" s="15"/>
      <x:c r="T195" s="15"/>
      <x:c r="U195" s="15"/>
    </x:row>
    <x:row r="196" ht="22" customHeight="1">
      <x:c r="A196" s="50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58"/>
      <x:c r="L196" s="58"/>
      <x:c r="M196" s="58"/>
      <x:c r="N196" s="58"/>
      <x:c r="O196" s="58"/>
      <x:c r="P196" s="58"/>
      <x:c r="Q196" s="15"/>
      <x:c r="R196" s="15"/>
      <x:c r="S196" s="15"/>
      <x:c r="T196" s="15"/>
      <x:c r="U196" s="15"/>
    </x:row>
    <x:row r="197" ht="22" customHeight="1">
      <x:c r="A197" s="50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58"/>
      <x:c r="L197" s="58"/>
      <x:c r="M197" s="58"/>
      <x:c r="N197" s="58"/>
      <x:c r="O197" s="58"/>
      <x:c r="P197" s="58"/>
      <x:c r="Q197" s="15"/>
      <x:c r="R197" s="15"/>
      <x:c r="S197" s="15"/>
      <x:c r="T197" s="15"/>
      <x:c r="U197" s="15"/>
    </x:row>
    <x:row r="198" ht="22" customHeight="1">
      <x:c r="A198" s="50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58"/>
      <x:c r="L198" s="58"/>
      <x:c r="M198" s="58"/>
      <x:c r="N198" s="58"/>
      <x:c r="O198" s="58"/>
      <x:c r="P198" s="58"/>
      <x:c r="Q198" s="15"/>
      <x:c r="R198" s="15"/>
      <x:c r="S198" s="15"/>
      <x:c r="T198" s="15"/>
      <x:c r="U198" s="15"/>
    </x:row>
    <x:row r="199" ht="22" customHeight="1">
      <x:c r="A199" s="50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58"/>
      <x:c r="L199" s="58"/>
      <x:c r="M199" s="58"/>
      <x:c r="N199" s="58"/>
      <x:c r="O199" s="58"/>
      <x:c r="P199" s="58"/>
      <x:c r="Q199" s="15"/>
      <x:c r="R199" s="15"/>
      <x:c r="S199" s="15"/>
      <x:c r="T199" s="15"/>
      <x:c r="U199" s="15"/>
    </x:row>
    <x:row r="200" ht="22" customHeight="1">
      <x:c r="A200" s="50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58"/>
      <x:c r="L200" s="58"/>
      <x:c r="M200" s="58"/>
      <x:c r="N200" s="58"/>
      <x:c r="O200" s="58"/>
      <x:c r="P200" s="58"/>
      <x:c r="Q200" s="15"/>
      <x:c r="R200" s="15"/>
      <x:c r="S200" s="15"/>
      <x:c r="T200" s="15"/>
      <x:c r="U200" s="15"/>
    </x:row>
    <x:row r="201" ht="22" customHeight="1">
      <x:c r="A201" s="50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58"/>
      <x:c r="L201" s="58"/>
      <x:c r="M201" s="58"/>
      <x:c r="N201" s="58"/>
      <x:c r="O201" s="58"/>
      <x:c r="P201" s="58"/>
      <x:c r="Q201" s="15"/>
      <x:c r="R201" s="15"/>
      <x:c r="S201" s="15"/>
      <x:c r="T201" s="15"/>
      <x:c r="U201" s="15"/>
    </x:row>
    <x:row r="202" ht="22" customHeight="1">
      <x:c r="A202" s="50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58"/>
      <x:c r="L202" s="58"/>
      <x:c r="M202" s="58"/>
      <x:c r="N202" s="58"/>
      <x:c r="O202" s="58"/>
      <x:c r="P202" s="58"/>
      <x:c r="Q202" s="15"/>
      <x:c r="R202" s="15"/>
      <x:c r="S202" s="15"/>
      <x:c r="T202" s="15"/>
      <x:c r="U202" s="15"/>
    </x:row>
    <x:row r="203" ht="22" customHeight="1">
      <x:c r="A203" s="50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58"/>
      <x:c r="L203" s="58"/>
      <x:c r="M203" s="58"/>
      <x:c r="N203" s="58"/>
      <x:c r="O203" s="58"/>
      <x:c r="P203" s="58"/>
      <x:c r="Q203" s="15"/>
      <x:c r="R203" s="15"/>
      <x:c r="S203" s="15"/>
      <x:c r="T203" s="15"/>
      <x:c r="U203" s="15"/>
    </x:row>
    <x:row r="204" ht="22" customHeight="1">
      <x:c r="A204" s="50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58"/>
      <x:c r="L204" s="58"/>
      <x:c r="M204" s="58"/>
      <x:c r="N204" s="58"/>
      <x:c r="O204" s="58"/>
      <x:c r="P204" s="58"/>
      <x:c r="Q204" s="15"/>
      <x:c r="R204" s="15"/>
      <x:c r="S204" s="15"/>
      <x:c r="T204" s="15"/>
      <x:c r="U204" s="15"/>
    </x:row>
    <x:row r="205" ht="22" customHeight="1">
      <x:c r="A205" s="50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58"/>
      <x:c r="L205" s="58"/>
      <x:c r="M205" s="58"/>
      <x:c r="N205" s="58"/>
      <x:c r="O205" s="58"/>
      <x:c r="P205" s="58"/>
      <x:c r="Q205" s="15"/>
      <x:c r="R205" s="15"/>
      <x:c r="S205" s="15"/>
      <x:c r="T205" s="15"/>
      <x:c r="U205" s="15"/>
    </x:row>
    <x:row r="206" ht="22" customHeight="1">
      <x:c r="A206" s="50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58"/>
      <x:c r="L206" s="58"/>
      <x:c r="M206" s="58"/>
      <x:c r="N206" s="58"/>
      <x:c r="O206" s="58"/>
      <x:c r="P206" s="58"/>
      <x:c r="Q206" s="15"/>
      <x:c r="R206" s="15"/>
      <x:c r="S206" s="15"/>
      <x:c r="T206" s="15"/>
      <x:c r="U206" s="15"/>
    </x:row>
    <x:row r="207" ht="22" customHeight="1">
      <x:c r="A207" s="50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58"/>
      <x:c r="L207" s="58"/>
      <x:c r="M207" s="58"/>
      <x:c r="N207" s="58"/>
      <x:c r="O207" s="58"/>
      <x:c r="P207" s="58"/>
      <x:c r="Q207" s="15"/>
      <x:c r="R207" s="15"/>
      <x:c r="S207" s="15"/>
      <x:c r="T207" s="15"/>
      <x:c r="U207" s="15"/>
    </x:row>
    <x:row r="208" ht="22" customHeight="1">
      <x:c r="A208" s="50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58"/>
      <x:c r="L208" s="58"/>
      <x:c r="M208" s="58"/>
      <x:c r="N208" s="58"/>
      <x:c r="O208" s="58"/>
      <x:c r="P208" s="58"/>
      <x:c r="Q208" s="15"/>
      <x:c r="R208" s="15"/>
      <x:c r="S208" s="15"/>
      <x:c r="T208" s="15"/>
      <x:c r="U208" s="15"/>
    </x:row>
  </x:sheetData>
  <x:mergeCells>
    <x:mergeCell ref="A1:U2"/>
    <x:mergeCell ref="A4:C4"/>
    <x:mergeCell ref="A5:C6"/>
    <x:mergeCell ref="D4:F4"/>
    <x:mergeCell ref="D5:F6"/>
    <x:mergeCell ref="G4:I4"/>
    <x:mergeCell ref="G5:I6"/>
    <x:mergeCell ref="J4:L4"/>
    <x:mergeCell ref="J5:L6"/>
    <x:mergeCell ref="M4:O4"/>
    <x:mergeCell ref="M5:O6"/>
  </x:mergeCells>
  <x:conditionalFormatting sqref="Q9:Q208">
    <x:cfRule type="expression" dxfId="2" priority="1">
      <x:formula>Q9="Serbest Bırakıldı"</x:formula>
    </x:cfRule>
    <x:cfRule type="expression" dxfId="3" priority="2">
      <x:formula>Q9="Revizyon Gerekli"</x:formula>
    </x:cfRule>
    <x:cfRule type="expression" dxfId="4" priority="3">
      <x:formula>Q9="İptal"</x:formula>
    </x:cfRule>
  </x:conditionalFormatting>
  <x:dataValidations count="3">
    <x:dataValidation type="list" sqref="J9:J208">
      <x:formula1>Listeler!$B$2:$B$6</x:formula1>
    </x:dataValidation>
    <x:dataValidation type="list" sqref="N9:N208">
      <x:formula1>Listeler!$A$2:$A$10</x:formula1>
    </x:dataValidation>
    <x:dataValidation type="list" sqref="Q9:Q208">
      <x:formula1>Listeler!$E$2:$E$7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d07c48fc2d4a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>
      <x:c r="A1" s="6" t="str">
        <x:v>Proses Tipi</x:v>
      </x:c>
      <x:c r="B1" s="6" t="str">
        <x:v>Renk Grubu</x:v>
      </x:c>
      <x:c r="C1" s="6" t="str">
        <x:v>Malzeme Grubu</x:v>
      </x:c>
      <x:c r="D1" s="6" t="str">
        <x:v>Dozaj Birimi</x:v>
      </x:c>
      <x:c r="E1" s="6" t="str">
        <x:v>Reçete Durumu</x:v>
      </x:c>
      <x:c r="F1" s="6" t="str">
        <x:v>Kontrol Sonucu</x:v>
      </x:c>
      <x:c r="G1" s="6" t="str">
        <x:v>Aşama</x:v>
      </x:c>
      <x:c r="H1" s="6" t="str">
        <x:v>Kumaş Formu</x:v>
      </x:c>
    </x:row>
    <x:row r="2">
      <x:c r="A2" s="15" t="str">
        <x:v>30→60 °C Klasik Reaktif</x:v>
      </x:c>
      <x:c r="B2" s="15" t="str">
        <x:v>Açık</x:v>
      </x:c>
      <x:c r="C2" s="15" t="str">
        <x:v>Boyarmadde</x:v>
      </x:c>
      <x:c r="D2" s="15" t="str">
        <x:v>% HT</x:v>
      </x:c>
      <x:c r="E2" s="15" t="str">
        <x:v>Taslak</x:v>
      </x:c>
      <x:c r="F2" s="15" t="str">
        <x:v>Uygun</x:v>
      </x:c>
      <x:c r="G2" s="15" t="str">
        <x:v>Kasar</x:v>
      </x:c>
      <x:c r="H2" s="15" t="str">
        <x:v>Tüp</x:v>
      </x:c>
    </x:row>
    <x:row r="3">
      <x:c r="A3" s="15" t="str">
        <x:v>60–60 °C Tuz Baştan</x:v>
      </x:c>
      <x:c r="B3" s="15" t="str">
        <x:v>Orta</x:v>
      </x:c>
      <x:c r="C3" s="15" t="str">
        <x:v>Yardımcı Kimyasal</x:v>
      </x:c>
      <x:c r="D3" s="15" t="str">
        <x:v>g/L</x:v>
      </x:c>
      <x:c r="E3" s="15" t="str">
        <x:v>Laboratuvar Onaylı</x:v>
      </x:c>
      <x:c r="F3" s="15" t="str">
        <x:v>Şartlı</x:v>
      </x:c>
      <x:c r="G3" s="15" t="str">
        <x:v>Boyama</x:v>
      </x:c>
      <x:c r="H3" s="15" t="str">
        <x:v>Açık En</x:v>
      </x:c>
    </x:row>
    <x:row r="4">
      <x:c r="A4" s="15" t="str">
        <x:v>60–60 °C Tuz Sonradan</x:v>
      </x:c>
      <x:c r="B4" s="15" t="str">
        <x:v>Koyu</x:v>
      </x:c>
      <x:c r="C4" s="15" t="str">
        <x:v>Elektrolit</x:v>
      </x:c>
      <x:c r="D4" s="15" t="str">
        <x:v>kg</x:v>
      </x:c>
      <x:c r="E4" s="15" t="str">
        <x:v>Proses Onaylı</x:v>
      </x:c>
      <x:c r="F4" s="15" t="str">
        <x:v>Uygun Değil</x:v>
      </x:c>
      <x:c r="G4" s="15" t="str">
        <x:v>Alkali / Asit</x:v>
      </x:c>
      <x:c r="H4" s="15" t="str">
        <x:v>Halat</x:v>
      </x:c>
    </x:row>
    <x:row r="5">
      <x:c r="A5" s="15" t="str">
        <x:v>60→80→60 °C Migrasyon</x:v>
      </x:c>
      <x:c r="B5" s="15" t="str">
        <x:v>Turkuaz / Mavi</x:v>
      </x:c>
      <x:c r="C5" s="15" t="str">
        <x:v>Alkali</x:v>
      </x:c>
      <x:c r="D5" s="15" t="str">
        <x:v>mL/L</x:v>
      </x:c>
      <x:c r="E5" s="15" t="str">
        <x:v>Serbest Bırakıldı</x:v>
      </x:c>
      <x:c r="F5" s="15" t="str"/>
      <x:c r="G5" s="15" t="str">
        <x:v>Fiksaj</x:v>
      </x:c>
      <x:c r="H5" s="15" t="str"/>
    </x:row>
    <x:row r="6">
      <x:c r="A6" s="15" t="str">
        <x:v>80→60 °C Kontrollü İniş</x:v>
      </x:c>
      <x:c r="B6" s="15" t="str">
        <x:v>Siyah / Lacivert</x:v>
      </x:c>
      <x:c r="C6" s="15" t="str">
        <x:v>Asit / Tampon</x:v>
      </x:c>
      <x:c r="D6" s="15" t="str"/>
      <x:c r="E6" s="15" t="str">
        <x:v>Revizyon Gerekli</x:v>
      </x:c>
      <x:c r="F6" s="15" t="str"/>
      <x:c r="G6" s="15" t="str">
        <x:v>Yıkama</x:v>
      </x:c>
      <x:c r="H6" s="15" t="str"/>
    </x:row>
    <x:row r="7">
      <x:c r="A7" s="15" t="str">
        <x:v>Polyester Dispers</x:v>
      </x:c>
      <x:c r="B7" s="15" t="str"/>
      <x:c r="C7" s="15" t="str">
        <x:v>Sabunlama / Yıkama</x:v>
      </x:c>
      <x:c r="D7" s="15" t="str"/>
      <x:c r="E7" s="15" t="str">
        <x:v>İptal</x:v>
      </x:c>
      <x:c r="F7" s="15" t="str"/>
      <x:c r="G7" s="15" t="str">
        <x:v>Redüktif Temizleme</x:v>
      </x:c>
      <x:c r="H7" s="15" t="str"/>
    </x:row>
    <x:row r="8">
      <x:c r="A8" s="15" t="str">
        <x:v>Polyester Redüktif Temizleme</x:v>
      </x:c>
      <x:c r="B8" s="15" t="str"/>
      <x:c r="C8" s="15" t="str">
        <x:v>Fiksatör</x:v>
      </x:c>
      <x:c r="D8" s="15" t="str"/>
      <x:c r="E8" s="15" t="str"/>
      <x:c r="F8" s="15" t="str"/>
      <x:c r="G8" s="15" t="str">
        <x:v>Fikse</x:v>
      </x:c>
      <x:c r="H8" s="15" t="str"/>
    </x:row>
    <x:row r="9">
      <x:c r="A9" s="15" t="str">
        <x:v>Naylon / Poliamid Asit</x:v>
      </x:c>
      <x:c r="B9" s="15" t="str"/>
      <x:c r="C9" s="15" t="str">
        <x:v>Diğer</x:v>
      </x:c>
      <x:c r="D9" s="15" t="str"/>
      <x:c r="E9" s="15" t="str"/>
      <x:c r="F9" s="15" t="str"/>
      <x:c r="G9" s="15" t="str">
        <x:v>Final İşlem</x:v>
      </x:c>
      <x:c r="H9" s="15" t="str"/>
    </x:row>
    <x:row r="10">
      <x:c r="A10" s="15" t="str">
        <x:v>Pamuk–Polyester Çift Banyo</x:v>
      </x:c>
      <x:c r="B10" s="15" t="str"/>
      <x:c r="C10" s="15" t="str"/>
      <x:c r="D10" s="15" t="str"/>
      <x:c r="E10" s="15" t="str"/>
      <x:c r="F10" s="15" t="str"/>
      <x:c r="G10" s="15" t="str">
        <x:v>Diğer</x:v>
      </x:c>
      <x:c r="H10" s="15" t="str"/>
    </x:row>
  </x:sheetData>
  <x:pageMargins left="0.7" right="0.7" top="0.75" bottom="0.75" header="0.3" footer="0.3"/>
</x:worksheet>
</file>