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e07b2204c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yama Başlangıç" sheetId="1" r:id="R6815868ad1e44f46"/>
    <x:sheet xmlns:r="http://schemas.openxmlformats.org/officeDocument/2006/relationships" name="Kontrol Kayıtları" sheetId="2" r:id="R37be4cb864b04bae"/>
    <x:sheet xmlns:r="http://schemas.openxmlformats.org/officeDocument/2006/relationships" name="Haftalık Özet" sheetId="3" r:id="R4975ecef09e04676"/>
    <x:sheet xmlns:r="http://schemas.openxmlformats.org/officeDocument/2006/relationships" name="Listeler" sheetId="4" r:id="Ra4e5de3e5e4844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.0%"/>
  </x:numFmts>
  <x:fonts count="8">
    <x:font>
      <x:sz val="11"/>
      <x:name val="Carlito"/>
    </x:font>
    <x:font>
      <x:b/>
      <x:sz val="9"/>
      <x:color rgb="FFFFFFFF"/>
      <x:name val="Poppins"/>
    </x:font>
    <x:font>
      <x:sz val="9"/>
      <x:color rgb="FF061A33"/>
      <x:name val="Poppins"/>
    </x:font>
    <x:font>
      <x:b/>
      <x:sz val="16"/>
      <x:color rgb="FFFFFFFF"/>
      <x:name val="Poppins"/>
    </x:font>
    <x:font>
      <x:i/>
      <x:sz val="9"/>
      <x:color rgb="FF5E748C"/>
      <x:name val="Poppins"/>
    </x:font>
    <x:font>
      <x:b/>
      <x:sz val="10"/>
      <x:color rgb="FFFFFFFF"/>
      <x:name val="Poppins"/>
    </x:font>
    <x:font>
      <x:b/>
      <x:sz val="9"/>
      <x:color rgb="FF061A33"/>
      <x:name val="Poppins"/>
    </x:font>
    <x:font>
      <x:b/>
      <x:sz val="16"/>
      <x:color rgb="FF2FA6D6"/>
      <x:name val="Poppins"/>
    </x:font>
  </x:fonts>
  <x:fills count="9">
    <x:fill>
      <x:patternFill patternType="none"/>
    </x:fill>
    <x:fill>
      <x:patternFill patternType="gray125"/>
    </x:fill>
    <x:fill>
      <x:patternFill patternType="solid">
        <x:fgColor rgb="FF061A33"/>
      </x:patternFill>
    </x:fill>
    <x:fill>
      <x:patternFill patternType="solid">
        <x:fgColor rgb="FFF7FAFC"/>
      </x:patternFill>
    </x:fill>
    <x:fill>
      <x:patternFill patternType="solid">
        <x:fgColor rgb="FFEEF5F9"/>
      </x:patternFill>
    </x:fill>
    <x:fill>
      <x:patternFill patternType="solid">
        <x:fgColor rgb="FFF3F6FA"/>
      </x:patternFill>
    </x:fill>
    <x:fill>
      <x:patternFill patternType="solid">
        <x:fgColor rgb="FF2FA6D6"/>
      </x:patternFill>
    </x:fill>
    <x:fill>
      <x:patternFill patternType="solid">
        <x:fgColor rgb="FFE3EDF4"/>
      </x:patternFill>
    </x:fill>
    <x:fill>
      <x:patternFill patternType="solid">
        <x:fgColor rgb="FFFFFFFF"/>
      </x:patternFill>
    </x:fill>
  </x:fills>
  <x:borders count="16">
    <x:border/>
    <x:border/>
    <x:border>
      <x:left style="thin">
        <x:color rgb="FF7F9AAF"/>
      </x:left>
      <x:top style="thin">
        <x:color rgb="FF7F9AAF"/>
      </x:top>
      <x:bottom style="medium">
        <x:color rgb="FF7F9AAF"/>
      </x:bottom>
    </x:border>
    <x:border>
      <x:top style="thin">
        <x:color rgb="FF7F9AAF"/>
      </x:top>
      <x:bottom style="medium">
        <x:color rgb="FF7F9AAF"/>
      </x:bottom>
    </x:border>
    <x:border>
      <x:right style="thin">
        <x:color rgb="FF7F9AAF"/>
      </x:right>
      <x:top style="thin">
        <x:color rgb="FF7F9AAF"/>
      </x:top>
      <x:bottom style="medium">
        <x:color rgb="FF7F9AAF"/>
      </x:bottom>
    </x:border>
    <x:border>
      <x:left style="thin">
        <x:color rgb="FF7F9AAF"/>
      </x:left>
      <x:top style="thin">
        <x:color rgb="FF7F9AAF"/>
      </x:top>
      <x:bottom style="medium">
        <x:color rgb="FF7F9AAF"/>
      </x:bottom>
    </x:border>
    <x:border>
      <x:top style="thin">
        <x:color rgb="FF7F9AAF"/>
      </x:top>
      <x:bottom style="medium">
        <x:color rgb="FF7F9AAF"/>
      </x:bottom>
    </x:border>
    <x:border>
      <x:right style="thin">
        <x:color rgb="FF7F9AAF"/>
      </x:right>
      <x:top style="thin">
        <x:color rgb="FF7F9AAF"/>
      </x:top>
      <x:bottom style="medium">
        <x:color rgb="FF7F9AAF"/>
      </x:bottom>
    </x:border>
    <x:border>
      <x:bottom style="medium">
        <x:color rgb="FF2FA6D6"/>
      </x:bottom>
    </x:border>
    <x:border>
      <x:bottom style="medium">
        <x:color rgb="FF2FA6D6"/>
      </x:bottom>
    </x:border>
    <x:border>
      <x:left style="thin">
        <x:color rgb="FF2FA6D6"/>
      </x:left>
      <x:top style="thin">
        <x:color rgb="FF2FA6D6"/>
      </x:top>
      <x:bottom style="medium">
        <x:color rgb="FF061A33"/>
      </x:bottom>
    </x:border>
    <x:border>
      <x:top style="thin">
        <x:color rgb="FF2FA6D6"/>
      </x:top>
      <x:bottom style="medium">
        <x:color rgb="FF061A33"/>
      </x:bottom>
    </x:border>
    <x:border>
      <x:right style="thin">
        <x:color rgb="FF2FA6D6"/>
      </x:right>
      <x:top style="thin">
        <x:color rgb="FF2FA6D6"/>
      </x:top>
      <x:bottom style="medium">
        <x:color rgb="FF061A33"/>
      </x:bottom>
    </x:border>
    <x:border>
      <x:left style="thin">
        <x:color rgb="FF2FA6D6"/>
      </x:left>
      <x:top style="thin">
        <x:color rgb="FF2FA6D6"/>
      </x:top>
      <x:bottom style="medium">
        <x:color rgb="FF061A33"/>
      </x:bottom>
    </x:border>
    <x:border>
      <x:top style="thin">
        <x:color rgb="FF2FA6D6"/>
      </x:top>
      <x:bottom style="medium">
        <x:color rgb="FF061A33"/>
      </x:bottom>
    </x:border>
    <x:border>
      <x:right style="thin">
        <x:color rgb="FF2FA6D6"/>
      </x:right>
      <x:top style="thin">
        <x:color rgb="FF2FA6D6"/>
      </x:top>
      <x:bottom style="medium">
        <x:color rgb="FF061A33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8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9" xfId="0" applyNumberFormat="1" applyFont="1" applyFill="1" applyBorder="1"/>
    <x:xf numFmtId="0" fontId="4" fillId="5" borderId="9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0" xfId="0" applyNumberFormat="1" applyFont="1" applyFill="1" applyBorder="1" applyAlignment="1">
      <x:alignment horizontal="left"/>
    </x:xf>
    <x:xf numFmtId="0" fontId="5" fillId="6" borderId="11" xfId="0" applyNumberFormat="1" applyFont="1" applyFill="1" applyBorder="1" applyAlignment="1">
      <x:alignment horizontal="left"/>
    </x:xf>
    <x:xf numFmtId="0" fontId="5" fillId="6" borderId="12" xfId="0" applyNumberFormat="1" applyFont="1" applyFill="1" applyBorder="1" applyAlignment="1">
      <x:alignment horizontal="left"/>
    </x:xf>
    <x:xf numFmtId="0" fontId="5" fillId="6" borderId="10" xfId="0" applyNumberFormat="1" applyFont="1" applyFill="1" applyBorder="1" applyAlignment="1">
      <x:alignment horizontal="left" vertical="center"/>
    </x:xf>
    <x:xf numFmtId="0" fontId="5" fillId="6" borderId="11" xfId="0" applyNumberFormat="1" applyFont="1" applyFill="1" applyBorder="1" applyAlignment="1">
      <x:alignment horizontal="left" vertical="center"/>
    </x:xf>
    <x:xf numFmtId="0" fontId="5" fillId="6" borderId="12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horizontal="left"/>
    </x:xf>
    <x:xf numFmtId="0" fontId="5" fillId="6" borderId="14" xfId="0" applyNumberFormat="1" applyFont="1" applyFill="1" applyBorder="1" applyAlignment="1">
      <x:alignment horizontal="left"/>
    </x:xf>
    <x:xf numFmtId="0" fontId="5" fillId="6" borderId="15" xfId="0" applyNumberFormat="1" applyFont="1" applyFill="1" applyBorder="1" applyAlignment="1">
      <x:alignment horizontal="left"/>
    </x:xf>
    <x:xf numFmtId="0" fontId="5" fillId="6" borderId="13" xfId="0" applyNumberFormat="1" applyFont="1" applyFill="1" applyBorder="1" applyAlignment="1">
      <x:alignment horizontal="left" vertical="center"/>
    </x:xf>
    <x:xf numFmtId="0" fontId="5" fillId="6" borderId="14" xfId="0" applyNumberFormat="1" applyFont="1" applyFill="1" applyBorder="1" applyAlignment="1">
      <x:alignment horizontal="left" vertical="center"/>
    </x:xf>
    <x:xf numFmtId="0" fontId="5" fillId="6" borderId="15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vertical="center" wrapText="1"/>
    </x:xf>
    <x:xf numFmtId="200" fontId="2" fillId="4" borderId="1" xfId="0" applyNumberFormat="1" applyFont="1" applyFill="1" applyBorder="1" applyAlignment="1">
      <x:alignment vertical="center" wrapText="1"/>
    </x:xf>
    <x:xf numFmtId="201" fontId="2" fillId="4" borderId="0" xfId="0" applyNumberFormat="1" applyFont="1" applyFill="1" applyBorder="1" applyAlignment="1">
      <x:alignment vertical="center" wrapText="1"/>
    </x:xf>
    <x:xf numFmtId="201" fontId="2" fillId="4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201" fontId="7" fillId="8" borderId="0" xfId="0" applyNumberFormat="1" applyFont="1" applyFill="1" applyBorder="1" applyAlignment="1">
      <x:alignment horizontal="center" vertical="center" wrapText="1"/>
    </x:xf>
    <x:xf numFmtId="201" fontId="7" fillId="8" borderId="1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5c1147fb34432a" /><Relationship Type="http://schemas.openxmlformats.org/officeDocument/2006/relationships/theme" Target="/xl/theme/theme1.xml" Id="R666a69a8a9004139" /><Relationship Type="http://schemas.openxmlformats.org/officeDocument/2006/relationships/sharedStrings" Target="/xl/sharedStrings.xml" Id="R2fa751b957414f85" /><Relationship Type="http://schemas.openxmlformats.org/officeDocument/2006/relationships/worksheet" Target="/xl/worksheets/sheet1.xml" Id="R6815868ad1e44f46" /><Relationship Type="http://schemas.openxmlformats.org/officeDocument/2006/relationships/worksheet" Target="/xl/worksheets/sheet2.xml" Id="R37be4cb864b04bae" /><Relationship Type="http://schemas.openxmlformats.org/officeDocument/2006/relationships/worksheet" Target="/xl/worksheets/sheet3.xml" Id="R4975ecef09e04676" /><Relationship Type="http://schemas.openxmlformats.org/officeDocument/2006/relationships/worksheet" Target="/xl/worksheets/sheet4.xml" Id="Ra4e5de3e5e4844c6" /></Relationships>
</file>

<file path=xl/tables/table1.xml><?xml version="1.0" encoding="utf-8"?>
<x:table xmlns:x="http://schemas.openxmlformats.org/spreadsheetml/2006/main" id="1" name="BoyamaBaslangicKayitlari" displayName="BoyamaBaslangicKayitlari" ref="A8:V208" headerRowCount="1">
  <x:tableColumns count="22">
    <x:tableColumn id="1" name="Tarih"/>
    <x:tableColumn id="2" name="Form No"/>
    <x:tableColumn id="3" name="Müşteri"/>
    <x:tableColumn id="4" name="Sipariş / Parti"/>
    <x:tableColumn id="5" name="Kumaş Cinsi"/>
    <x:tableColumn id="6" name="Kompozisyon"/>
    <x:tableColumn id="7" name="Renk"/>
    <x:tableColumn id="8" name="Renk Grubu"/>
    <x:tableColumn id="9" name="Proses Tipi"/>
    <x:tableColumn id="10" name="Parti kg"/>
    <x:tableColumn id="11" name="Makine"/>
    <x:tableColumn id="12" name="Flotte"/>
    <x:tableColumn id="13" name="Banyo L"/>
    <x:tableColumn id="14" name="Su Sertliği"/>
    <x:tableColumn id="15" name="Başlangıç pH"/>
    <x:tableColumn id="16" name="Uygun"/>
    <x:tableColumn id="17" name="Tamamlanma %"/>
    <x:tableColumn id="18" name="Başlatma Kararı"/>
    <x:tableColumn id="19" name="Risk"/>
    <x:tableColumn id="20" name="Sorumlu"/>
    <x:tableColumn id="21" name="Reçete No / Rev."/>
    <x:tableColumn id="22" name="Açıklam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066cd3c0694eb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5" hidden="0" customWidth="1"/>
    <x:col min="10" max="10" width="13" hidden="0" customWidth="1"/>
    <x:col min="11" max="11" width="12" hidden="0" customWidth="1"/>
    <x:col min="12" max="12" width="12" hidden="0" customWidth="1"/>
    <x:col min="13" max="13" width="12" hidden="0" customWidth="1"/>
    <x:col min="14" max="14" width="25" hidden="0" customWidth="1"/>
  </x:cols>
  <x:sheetData>
    <x:row r="1" ht="28" customHeight="1">
      <x:c r="A1" s="42" t="str">
        <x:v>BAHRİ BUDAK • BOYAMA BAŞLANGIÇ KONTROL VE ONAY LİSTESİ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</x:row>
    <x:row r="2" ht="28" customHeight="1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 ht="23" customHeight="1">
      <x:c r="A3" s="50" t="str">
        <x:v>HT jet boyama başlamadan önce parti, reçete, makine, flotte, su kalitesi, boyarmadde, kimyasal, dozaj sırası ve proses hedeflerinin eksiksiz doğrulanması için hazırlanmıştır.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</x:row>
    <x:row r="4" ht="23" customHeight="1"/>
    <x:row r="5" ht="23" customHeight="1">
      <x:c r="A5" s="64" t="str">
        <x:v>1. PARTİ, SİPARİŞ VE REÇETE BİLGİLERİ</x:v>
      </x:c>
      <x:c r="B5" s="65"/>
      <x:c r="C5" s="65"/>
      <x:c r="D5" s="65"/>
      <x:c r="E5" s="65"/>
      <x:c r="F5" s="65"/>
      <x:c r="G5" s="65"/>
      <x:c r="H5" s="65"/>
      <x:c r="I5" s="65"/>
      <x:c r="J5" s="65"/>
      <x:c r="K5" s="65"/>
      <x:c r="L5" s="65"/>
      <x:c r="M5" s="65"/>
      <x:c r="N5" s="66"/>
    </x:row>
    <x:row r="6" ht="23" customHeight="1">
      <x:c r="A6" s="81" t="str">
        <x:v>Tarih</x:v>
      </x:c>
      <x:c r="B6" s="81"/>
      <x:c r="C6" s="92"/>
      <x:c r="D6" s="92"/>
      <x:c r="E6" s="92"/>
      <x:c r="F6" s="92"/>
      <x:c r="G6" s="81" t="str">
        <x:v>Kontrol Formu No</x:v>
      </x:c>
      <x:c r="H6" s="81"/>
      <x:c r="I6" s="38"/>
      <x:c r="J6" s="38"/>
      <x:c r="K6" s="38"/>
      <x:c r="L6" s="38"/>
      <x:c r="M6" s="38"/>
      <x:c r="N6" s="38"/>
    </x:row>
    <x:row r="7" ht="23" customHeight="1">
      <x:c r="A7" s="81" t="str">
        <x:v>Müşteri</x:v>
      </x:c>
      <x:c r="B7" s="81"/>
      <x:c r="C7" s="38"/>
      <x:c r="D7" s="38"/>
      <x:c r="E7" s="38"/>
      <x:c r="F7" s="38"/>
      <x:c r="G7" s="81" t="str">
        <x:v>Sipariş / Parti No</x:v>
      </x:c>
      <x:c r="H7" s="81"/>
      <x:c r="I7" s="38"/>
      <x:c r="J7" s="38"/>
      <x:c r="K7" s="38"/>
      <x:c r="L7" s="38"/>
      <x:c r="M7" s="38"/>
      <x:c r="N7" s="38"/>
    </x:row>
    <x:row r="8" ht="23" customHeight="1">
      <x:c r="A8" s="81" t="str">
        <x:v>Kumaş Cinsi</x:v>
      </x:c>
      <x:c r="B8" s="81"/>
      <x:c r="C8" s="38"/>
      <x:c r="D8" s="38"/>
      <x:c r="E8" s="38"/>
      <x:c r="F8" s="38"/>
      <x:c r="G8" s="81" t="str">
        <x:v>Kompozisyon</x:v>
      </x:c>
      <x:c r="H8" s="81"/>
      <x:c r="I8" s="38"/>
      <x:c r="J8" s="38"/>
      <x:c r="K8" s="38"/>
      <x:c r="L8" s="38"/>
      <x:c r="M8" s="38"/>
      <x:c r="N8" s="38"/>
    </x:row>
    <x:row r="9" ht="23" customHeight="1">
      <x:c r="A9" s="81" t="str">
        <x:v>Örgü Tipi</x:v>
      </x:c>
      <x:c r="B9" s="81"/>
      <x:c r="C9" s="38"/>
      <x:c r="D9" s="38"/>
      <x:c r="E9" s="38"/>
      <x:c r="F9" s="38"/>
      <x:c r="G9" s="81" t="str">
        <x:v>Lot No</x:v>
      </x:c>
      <x:c r="H9" s="81"/>
      <x:c r="I9" s="38"/>
      <x:c r="J9" s="38"/>
      <x:c r="K9" s="38"/>
      <x:c r="L9" s="38"/>
      <x:c r="M9" s="38"/>
      <x:c r="N9" s="38"/>
    </x:row>
    <x:row r="10" ht="23" customHeight="1">
      <x:c r="A10" s="81" t="str">
        <x:v>Kumaş Grubu</x:v>
      </x:c>
      <x:c r="B10" s="81"/>
      <x:c r="C10" s="38"/>
      <x:c r="D10" s="38"/>
      <x:c r="E10" s="38"/>
      <x:c r="F10" s="38"/>
      <x:c r="G10" s="81" t="str">
        <x:v>Kumaş Formu</x:v>
      </x:c>
      <x:c r="H10" s="81"/>
      <x:c r="I10" s="38"/>
      <x:c r="J10" s="38"/>
      <x:c r="K10" s="38"/>
      <x:c r="L10" s="38"/>
      <x:c r="M10" s="38"/>
      <x:c r="N10" s="38"/>
    </x:row>
    <x:row r="11" ht="23" customHeight="1">
      <x:c r="A11" s="81" t="str">
        <x:v>Renk Adı / No</x:v>
      </x:c>
      <x:c r="B11" s="81"/>
      <x:c r="C11" s="38"/>
      <x:c r="D11" s="38"/>
      <x:c r="E11" s="38"/>
      <x:c r="F11" s="38"/>
      <x:c r="G11" s="81" t="str">
        <x:v>Renk Grubu</x:v>
      </x:c>
      <x:c r="H11" s="81"/>
      <x:c r="I11" s="38"/>
      <x:c r="J11" s="38"/>
      <x:c r="K11" s="38"/>
      <x:c r="L11" s="38"/>
      <x:c r="M11" s="38"/>
      <x:c r="N11" s="38"/>
    </x:row>
    <x:row r="12" ht="23" customHeight="1">
      <x:c r="A12" s="81" t="str">
        <x:v>Parti Ağırlığı (kg)</x:v>
      </x:c>
      <x:c r="B12" s="81"/>
      <x:c r="C12" s="38"/>
      <x:c r="D12" s="38"/>
      <x:c r="E12" s="38"/>
      <x:c r="F12" s="38"/>
      <x:c r="G12" s="81" t="str">
        <x:v>Makine No</x:v>
      </x:c>
      <x:c r="H12" s="81"/>
      <x:c r="I12" s="38"/>
      <x:c r="J12" s="38"/>
      <x:c r="K12" s="38"/>
      <x:c r="L12" s="38"/>
      <x:c r="M12" s="38"/>
      <x:c r="N12" s="38"/>
    </x:row>
    <x:row r="13" ht="23" customHeight="1">
      <x:c r="A13" s="81" t="str">
        <x:v>Flotte Oranı (1:x)</x:v>
      </x:c>
      <x:c r="B13" s="81"/>
      <x:c r="C13" s="38"/>
      <x:c r="D13" s="38"/>
      <x:c r="E13" s="38"/>
      <x:c r="F13" s="38"/>
      <x:c r="G13" s="81" t="str">
        <x:v>Toplam Banyo (L)</x:v>
      </x:c>
      <x:c r="H13" s="81"/>
      <x:c r="I13" s="38" t="str">
        <x:f>IF(OR(C13="",C14=""),"",C13*C14)</x:f>
      </x:c>
      <x:c r="J13" s="38"/>
      <x:c r="K13" s="38"/>
      <x:c r="L13" s="38"/>
      <x:c r="M13" s="38"/>
      <x:c r="N13" s="38"/>
    </x:row>
    <x:row r="14" ht="23" customHeight="1">
      <x:c r="A14" s="81" t="str">
        <x:v>Laboratuvar Reçete No / Rev.</x:v>
      </x:c>
      <x:c r="B14" s="81"/>
      <x:c r="C14" s="38"/>
      <x:c r="D14" s="38"/>
      <x:c r="E14" s="38"/>
      <x:c r="F14" s="38"/>
      <x:c r="G14" s="81" t="str">
        <x:v>Numune Onay No / Tarih</x:v>
      </x:c>
      <x:c r="H14" s="81"/>
      <x:c r="I14" s="38"/>
      <x:c r="J14" s="38"/>
      <x:c r="K14" s="38"/>
      <x:c r="L14" s="38"/>
      <x:c r="M14" s="38"/>
      <x:c r="N14" s="38"/>
    </x:row>
    <x:row r="15" ht="23" customHeight="1">
      <x:c r="A15" s="81" t="str">
        <x:v>Planlanan Proses Tipi</x:v>
      </x:c>
      <x:c r="B15" s="81"/>
      <x:c r="C15" s="38"/>
      <x:c r="D15" s="38"/>
      <x:c r="E15" s="38"/>
      <x:c r="F15" s="38"/>
      <x:c r="G15" s="81" t="str">
        <x:v>Boya Serisi / Kombinasyonu</x:v>
      </x:c>
      <x:c r="H15" s="81"/>
      <x:c r="I15" s="38"/>
      <x:c r="J15" s="38"/>
      <x:c r="K15" s="38"/>
      <x:c r="L15" s="38"/>
      <x:c r="M15" s="38"/>
      <x:c r="N15" s="38"/>
    </x:row>
    <x:row r="16" ht="30" customHeight="1">
      <x:c r="A16" s="81" t="str">
        <x:v>Müşteri Şartnamesi / Özel İstek</x:v>
      </x:c>
      <x:c r="B16" s="81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</x:row>
    <x:row r="17" ht="30" customHeight="1"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</x:row>
    <x:row r="18" ht="23" customHeight="1"/>
    <x:row r="19" ht="23" customHeight="1">
      <x:c r="A19" s="64" t="str">
        <x:v>2. ONAYLI REÇETE VE PROSES HEDEFLERİ</x:v>
      </x:c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6"/>
    </x:row>
    <x:row r="20" ht="23" customHeight="1">
      <x:c r="A20" s="81" t="str">
        <x:v>Başlangıç Sıcaklığı (°C)</x:v>
      </x:c>
      <x:c r="B20" s="81"/>
      <x:c r="C20" s="38"/>
      <x:c r="D20" s="38"/>
      <x:c r="E20" s="38"/>
      <x:c r="F20" s="38"/>
      <x:c r="G20" s="81" t="str">
        <x:v>Başlangıç pH</x:v>
      </x:c>
      <x:c r="H20" s="81"/>
      <x:c r="I20" s="38"/>
      <x:c r="J20" s="38"/>
      <x:c r="K20" s="38"/>
      <x:c r="L20" s="38"/>
      <x:c r="M20" s="38"/>
      <x:c r="N20" s="38"/>
    </x:row>
    <x:row r="21" ht="23" customHeight="1">
      <x:c r="A21" s="81" t="str">
        <x:v>Boyama Sıcaklığı (°C)</x:v>
      </x:c>
      <x:c r="B21" s="81"/>
      <x:c r="C21" s="38"/>
      <x:c r="D21" s="38"/>
      <x:c r="E21" s="38"/>
      <x:c r="F21" s="38"/>
      <x:c r="G21" s="81" t="str">
        <x:v>Ana Bekleme Süresi (dk)</x:v>
      </x:c>
      <x:c r="H21" s="81"/>
      <x:c r="I21" s="38"/>
      <x:c r="J21" s="38"/>
      <x:c r="K21" s="38"/>
      <x:c r="L21" s="38"/>
      <x:c r="M21" s="38"/>
      <x:c r="N21" s="38"/>
    </x:row>
    <x:row r="22" ht="23" customHeight="1">
      <x:c r="A22" s="81" t="str">
        <x:v>Isıtma Hızı (°C/dk)</x:v>
      </x:c>
      <x:c r="B22" s="81"/>
      <x:c r="C22" s="38"/>
      <x:c r="D22" s="38"/>
      <x:c r="E22" s="38"/>
      <x:c r="F22" s="38"/>
      <x:c r="G22" s="81" t="str">
        <x:v>Soğutma Hızı (°C/dk)</x:v>
      </x:c>
      <x:c r="H22" s="81"/>
      <x:c r="I22" s="38"/>
      <x:c r="J22" s="38"/>
      <x:c r="K22" s="38"/>
      <x:c r="L22" s="38"/>
      <x:c r="M22" s="38"/>
      <x:c r="N22" s="38"/>
    </x:row>
    <x:row r="23" ht="23" customHeight="1">
      <x:c r="A23" s="81" t="str">
        <x:v>Hedef Proses pH Aralığı</x:v>
      </x:c>
      <x:c r="B23" s="81"/>
      <x:c r="C23" s="38"/>
      <x:c r="D23" s="38"/>
      <x:c r="E23" s="38"/>
      <x:c r="F23" s="38"/>
      <x:c r="G23" s="81" t="str">
        <x:v>Hedef Final pH</x:v>
      </x:c>
      <x:c r="H23" s="81"/>
      <x:c r="I23" s="38"/>
      <x:c r="J23" s="38"/>
      <x:c r="K23" s="38"/>
      <x:c r="L23" s="38"/>
      <x:c r="M23" s="38"/>
      <x:c r="N23" s="38"/>
    </x:row>
    <x:row r="24" ht="23" customHeight="1">
      <x:c r="A24" s="81" t="str">
        <x:v>Numune Alma Noktası</x:v>
      </x:c>
      <x:c r="B24" s="81"/>
      <x:c r="C24" s="38"/>
      <x:c r="D24" s="38"/>
      <x:c r="E24" s="38"/>
      <x:c r="F24" s="38"/>
      <x:c r="G24" s="81" t="str">
        <x:v>Yıkama / Son İşlem Rotası</x:v>
      </x:c>
      <x:c r="H24" s="81"/>
      <x:c r="I24" s="38"/>
      <x:c r="J24" s="38"/>
      <x:c r="K24" s="38"/>
      <x:c r="L24" s="38"/>
      <x:c r="M24" s="38"/>
      <x:c r="N24" s="38"/>
    </x:row>
    <x:row r="25" ht="23" customHeight="1">
      <x:c r="A25" s="81" t="str">
        <x:v>Elektrolit Planı (uygunsa)</x:v>
      </x:c>
      <x:c r="B25" s="81"/>
      <x:c r="C25" s="38"/>
      <x:c r="D25" s="38"/>
      <x:c r="E25" s="38"/>
      <x:c r="F25" s="38"/>
      <x:c r="G25" s="81" t="str">
        <x:v>Alkali Planı (uygunsa)</x:v>
      </x:c>
      <x:c r="H25" s="81"/>
      <x:c r="I25" s="38"/>
      <x:c r="J25" s="38"/>
      <x:c r="K25" s="38"/>
      <x:c r="L25" s="38"/>
      <x:c r="M25" s="38"/>
      <x:c r="N25" s="38"/>
    </x:row>
    <x:row r="26" ht="23" customHeight="1">
      <x:c r="A26" s="81" t="str">
        <x:v>Asit / Tampon Planı (uygunsa)</x:v>
      </x:c>
      <x:c r="B26" s="81"/>
      <x:c r="C26" s="38"/>
      <x:c r="D26" s="38"/>
      <x:c r="E26" s="38"/>
      <x:c r="F26" s="38"/>
      <x:c r="G26" s="81" t="str">
        <x:v>Redüktif Temizleme Planı (uygunsa)</x:v>
      </x:c>
      <x:c r="H26" s="81"/>
      <x:c r="I26" s="38"/>
      <x:c r="J26" s="38"/>
      <x:c r="K26" s="38"/>
      <x:c r="L26" s="38"/>
      <x:c r="M26" s="38"/>
      <x:c r="N26" s="38"/>
    </x:row>
    <x:row r="27" ht="30" customHeight="1">
      <x:c r="A27" s="81" t="str">
        <x:v>Kritik Proses Notu</x:v>
      </x:c>
      <x:c r="B27" s="81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</x:row>
    <x:row r="28" ht="30" customHeight="1"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</x:row>
    <x:row r="29" ht="23" customHeight="1"/>
    <x:row r="30" ht="23" customHeight="1">
      <x:c r="A30" s="64" t="str">
        <x:v>3. MAKİNE, YÜKLEME VE KUMAŞ ÇEVRİM KONTROLLERİ</x:v>
      </x:c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6"/>
    </x:row>
    <x:row r="31" ht="42" customHeight="1">
      <x:c r="A31" s="13" t="str">
        <x:v>No</x:v>
      </x:c>
      <x:c r="B31" s="14" t="str">
        <x:v>Kontrol Maddesi</x:v>
      </x:c>
      <x:c r="C31" s="14" t="str"/>
      <x:c r="D31" s="14" t="str"/>
      <x:c r="E31" s="14" t="str"/>
      <x:c r="F31" s="14" t="str"/>
      <x:c r="G31" s="14" t="str"/>
      <x:c r="H31" s="14" t="str"/>
      <x:c r="I31" s="14" t="str">
        <x:v>Hedef / Değer</x:v>
      </x:c>
      <x:c r="J31" s="14" t="str"/>
      <x:c r="K31" s="14" t="str">
        <x:v>Durum</x:v>
      </x:c>
      <x:c r="L31" s="14" t="str"/>
      <x:c r="M31" s="14" t="str">
        <x:v>Kontrol Eden</x:v>
      </x:c>
      <x:c r="N31" s="15" t="str">
        <x:v>Açıklama</x:v>
      </x:c>
    </x:row>
    <x:row r="32" ht="23" customHeight="1">
      <x:c r="A32" s="33" t="n">
        <x:v>1</x:v>
      </x:c>
      <x:c r="B32" s="33" t="str">
        <x:v>Makine kapasitesi ile parti yükü uyumlu</x:v>
      </x:c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</x:row>
    <x:row r="33" ht="23" customHeight="1">
      <x:c r="A33" s="38" t="n">
        <x:v>2</x:v>
      </x:c>
      <x:c r="B33" s="38" t="str">
        <x:v>Flotte oranı ve toplam banyo hesabı doğrulandı</x:v>
      </x:c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</x:row>
    <x:row r="34" ht="23" customHeight="1">
      <x:c r="A34" s="33" t="n">
        <x:v>3</x:v>
      </x:c>
      <x:c r="B34" s="33" t="str">
        <x:v>Göz / düze seçimi kumaş tipi ve gramaja uygun</x:v>
      </x:c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</x:row>
    <x:row r="35" ht="23" customHeight="1">
      <x:c r="A35" s="38" t="n">
        <x:v>4</x:v>
      </x:c>
      <x:c r="B35" s="38" t="str">
        <x:v>Halat uzunluğu ve kumaş çevrim süresi uygun</x:v>
      </x:c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</x:row>
    <x:row r="36" ht="23" customHeight="1">
      <x:c r="A36" s="33" t="n">
        <x:v>5</x:v>
      </x:c>
      <x:c r="B36" s="33" t="str">
        <x:v>Makine temizliği ve önceki renk riski kontrol edildi</x:v>
      </x:c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</x:row>
    <x:row r="37" ht="23" customHeight="1">
      <x:c r="A37" s="38" t="n">
        <x:v>6</x:v>
      </x:c>
      <x:c r="B37" s="38" t="str">
        <x:v>Filtre, düze, pompa, eşanjör ve sirkülasyon sistemi kontrol edildi</x:v>
      </x:c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</x:row>
    <x:row r="38" ht="23" customHeight="1">
      <x:c r="A38" s="33" t="n">
        <x:v>7</x:v>
      </x:c>
      <x:c r="B38" s="33" t="str">
        <x:v>Sıcaklık, pH, seviye ve basınç sensörleri çalışır durumda</x:v>
      </x:c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</x:row>
    <x:row r="39" ht="23" customHeight="1">
      <x:c r="A39" s="38" t="n">
        <x:v>8</x:v>
      </x:c>
      <x:c r="B39" s="38" t="str">
        <x:v>Otomatik dozaj tankları, hatlar, vanalar ve pompalar hazır</x:v>
      </x:c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</x:row>
    <x:row r="40" ht="23" customHeight="1">
      <x:c r="A40" s="33" t="n">
        <x:v>9</x:v>
      </x:c>
      <x:c r="B40" s="33" t="str">
        <x:v>Kumaş yükleme ve geçiş yönü doğrulandı</x:v>
      </x:c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</x:row>
    <x:row r="41" ht="23" customHeight="1">
      <x:c r="A41" s="38" t="n">
        <x:v>10</x:v>
      </x:c>
      <x:c r="B41" s="38" t="str">
        <x:v>İlk dolaşımda kırık, sıkışma ve düzensiz akış riski kontrol edildi</x:v>
      </x:c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</x:row>
    <x:row r="42" ht="23" customHeight="1"/>
    <x:row r="43" ht="23" customHeight="1">
      <x:c r="A43" s="64" t="str">
        <x:v>4. SU KALİTESİ VE BAŞLANGIÇ BANYOSU KONTROLLERİ</x:v>
      </x:c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ht="42" customHeight="1">
      <x:c r="A44" s="13" t="str">
        <x:v>Kontrol Parametresi</x:v>
      </x:c>
      <x:c r="B44" s="14" t="str"/>
      <x:c r="C44" s="14" t="str"/>
      <x:c r="D44" s="14" t="str">
        <x:v>İşletme Hedefi / Limiti</x:v>
      </x:c>
      <x:c r="E44" s="14" t="str"/>
      <x:c r="F44" s="14" t="str"/>
      <x:c r="G44" s="14" t="str">
        <x:v>Gerçek Değer</x:v>
      </x:c>
      <x:c r="H44" s="14" t="str"/>
      <x:c r="I44" s="14" t="str">
        <x:v>Birim</x:v>
      </x:c>
      <x:c r="J44" s="14" t="str">
        <x:v>Durum</x:v>
      </x:c>
      <x:c r="K44" s="14" t="str"/>
      <x:c r="L44" s="14" t="str">
        <x:v>Kontrol Eden</x:v>
      </x:c>
      <x:c r="M44" s="14" t="str"/>
      <x:c r="N44" s="15" t="str">
        <x:v>Açıklama</x:v>
      </x:c>
    </x:row>
    <x:row r="45" ht="23" customHeight="1">
      <x:c r="A45" s="38" t="str">
        <x:v>Su sertliği</x:v>
      </x:c>
      <x:c r="B45" s="38"/>
      <x:c r="C45" s="38"/>
      <x:c r="D45" s="38"/>
      <x:c r="E45" s="38"/>
      <x:c r="F45" s="38"/>
      <x:c r="G45" s="38"/>
      <x:c r="H45" s="38"/>
      <x:c r="I45" s="38" t="str">
        <x:v>ppm CaCO₃</x:v>
      </x:c>
      <x:c r="J45" s="38"/>
      <x:c r="K45" s="38"/>
      <x:c r="L45" s="38"/>
      <x:c r="M45" s="38"/>
      <x:c r="N45" s="38"/>
    </x:row>
    <x:row r="46" ht="23" customHeight="1">
      <x:c r="A46" s="33" t="str">
        <x:v>Başlangıç su pH</x:v>
      </x:c>
      <x:c r="B46" s="33"/>
      <x:c r="C46" s="33"/>
      <x:c r="D46" s="33"/>
      <x:c r="E46" s="33"/>
      <x:c r="F46" s="33"/>
      <x:c r="G46" s="33"/>
      <x:c r="H46" s="33"/>
      <x:c r="I46" s="33" t="str">
        <x:v>pH</x:v>
      </x:c>
      <x:c r="J46" s="33"/>
      <x:c r="K46" s="33"/>
      <x:c r="L46" s="33"/>
      <x:c r="M46" s="33"/>
      <x:c r="N46" s="33"/>
    </x:row>
    <x:row r="47" ht="34" customHeight="1">
      <x:c r="A47" s="38" t="str">
        <x:v>İletkenlik</x:v>
      </x:c>
      <x:c r="B47" s="38"/>
      <x:c r="C47" s="38"/>
      <x:c r="D47" s="38"/>
      <x:c r="E47" s="38"/>
      <x:c r="F47" s="38"/>
      <x:c r="G47" s="38"/>
      <x:c r="H47" s="38"/>
      <x:c r="I47" s="38" t="str">
        <x:v>µS/cm veya mS/cm</x:v>
      </x:c>
      <x:c r="J47" s="38"/>
      <x:c r="K47" s="38"/>
      <x:c r="L47" s="38"/>
      <x:c r="M47" s="38"/>
      <x:c r="N47" s="38"/>
    </x:row>
    <x:row r="48" ht="23" customHeight="1">
      <x:c r="A48" s="33" t="str">
        <x:v>Su sıcaklığı</x:v>
      </x:c>
      <x:c r="B48" s="33"/>
      <x:c r="C48" s="33"/>
      <x:c r="D48" s="33"/>
      <x:c r="E48" s="33"/>
      <x:c r="F48" s="33"/>
      <x:c r="G48" s="33"/>
      <x:c r="H48" s="33"/>
      <x:c r="I48" s="33" t="str">
        <x:v>°C</x:v>
      </x:c>
      <x:c r="J48" s="33"/>
      <x:c r="K48" s="33"/>
      <x:c r="L48" s="33"/>
      <x:c r="M48" s="33"/>
      <x:c r="N48" s="33"/>
    </x:row>
    <x:row r="49" ht="34" customHeight="1">
      <x:c r="A49" s="38" t="str">
        <x:v>Demir / metal riski</x:v>
      </x:c>
      <x:c r="B49" s="38"/>
      <x:c r="C49" s="38"/>
      <x:c r="D49" s="38"/>
      <x:c r="E49" s="38"/>
      <x:c r="F49" s="38"/>
      <x:c r="G49" s="38"/>
      <x:c r="H49" s="38"/>
      <x:c r="I49" s="38" t="str">
        <x:v>işletme yöntemi</x:v>
      </x:c>
      <x:c r="J49" s="38"/>
      <x:c r="K49" s="38"/>
      <x:c r="L49" s="38"/>
      <x:c r="M49" s="38"/>
      <x:c r="N49" s="38"/>
    </x:row>
    <x:row r="50" ht="34" customHeight="1">
      <x:c r="A50" s="33" t="str">
        <x:v>Banyo seviye / hacim doğrulaması</x:v>
      </x:c>
      <x:c r="B50" s="33"/>
      <x:c r="C50" s="33"/>
      <x:c r="D50" s="33"/>
      <x:c r="E50" s="33"/>
      <x:c r="F50" s="33"/>
      <x:c r="G50" s="33"/>
      <x:c r="H50" s="33"/>
      <x:c r="I50" s="33" t="str">
        <x:v>L veya seviye</x:v>
      </x:c>
      <x:c r="J50" s="33"/>
      <x:c r="K50" s="33"/>
      <x:c r="L50" s="33"/>
      <x:c r="M50" s="33"/>
      <x:c r="N50" s="33"/>
    </x:row>
    <x:row r="51" ht="34" customHeight="1">
      <x:c r="A51" s="38" t="str">
        <x:v>Başlangıç kimyasal kalıntı riski</x:v>
      </x:c>
      <x:c r="B51" s="38"/>
      <x:c r="C51" s="38"/>
      <x:c r="D51" s="38"/>
      <x:c r="E51" s="38"/>
      <x:c r="F51" s="38"/>
      <x:c r="G51" s="38"/>
      <x:c r="H51" s="38"/>
      <x:c r="I51" s="38" t="str">
        <x:v>işletme yöntemi</x:v>
      </x:c>
      <x:c r="J51" s="38"/>
      <x:c r="K51" s="38"/>
      <x:c r="L51" s="38"/>
      <x:c r="M51" s="38"/>
      <x:c r="N51" s="38"/>
    </x:row>
    <x:row r="52" ht="34" customHeight="1">
      <x:c r="A52" s="33" t="str">
        <x:v>Makine içi temizlik ve koku kontrolü</x:v>
      </x:c>
      <x:c r="B52" s="33"/>
      <x:c r="C52" s="33"/>
      <x:c r="D52" s="33"/>
      <x:c r="E52" s="33"/>
      <x:c r="F52" s="33"/>
      <x:c r="G52" s="33"/>
      <x:c r="H52" s="33"/>
      <x:c r="I52" s="33" t="str">
        <x:v>görsel / koku</x:v>
      </x:c>
      <x:c r="J52" s="33"/>
      <x:c r="K52" s="33"/>
      <x:c r="L52" s="33"/>
      <x:c r="M52" s="33"/>
      <x:c r="N52" s="33"/>
    </x:row>
    <x:row r="53" ht="23" customHeight="1"/>
    <x:row r="54" ht="23" customHeight="1">
      <x:c r="A54" s="64" t="str">
        <x:v>5. BOYARMADDE, KİMYASAL VE DOZAJ HAZIRLIĞI</x:v>
      </x:c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6"/>
    </x:row>
    <x:row r="55" ht="42" customHeight="1">
      <x:c r="A55" s="13" t="str">
        <x:v>No</x:v>
      </x:c>
      <x:c r="B55" s="14" t="str">
        <x:v>Kontrol Maddesi</x:v>
      </x:c>
      <x:c r="C55" s="14" t="str"/>
      <x:c r="D55" s="14" t="str"/>
      <x:c r="E55" s="14" t="str"/>
      <x:c r="F55" s="14" t="str"/>
      <x:c r="G55" s="14" t="str"/>
      <x:c r="H55" s="14" t="str"/>
      <x:c r="I55" s="14" t="str">
        <x:v>Reçete / Lot / Değer</x:v>
      </x:c>
      <x:c r="J55" s="14" t="str"/>
      <x:c r="K55" s="14" t="str">
        <x:v>Durum</x:v>
      </x:c>
      <x:c r="L55" s="14" t="str"/>
      <x:c r="M55" s="14" t="str">
        <x:v>Sorumlu</x:v>
      </x:c>
      <x:c r="N55" s="15" t="str">
        <x:v>Açıklama</x:v>
      </x:c>
    </x:row>
    <x:row r="56" ht="23" customHeight="1">
      <x:c r="A56" s="33" t="n">
        <x:v>1</x:v>
      </x:c>
      <x:c r="B56" s="33" t="str">
        <x:v>Onaylı reçete numarası ve revizyonu doğrulandı</x:v>
      </x:c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</x:row>
    <x:row r="57" ht="23" customHeight="1">
      <x:c r="A57" s="38" t="n">
        <x:v>2</x:v>
      </x:c>
      <x:c r="B57" s="38" t="str">
        <x:v>Boyarmadde adları, oranları ve toplam miktarlar kontrol edildi</x:v>
      </x:c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</x:row>
    <x:row r="58" ht="23" customHeight="1">
      <x:c r="A58" s="33" t="n">
        <x:v>3</x:v>
      </x:c>
      <x:c r="B58" s="33" t="str">
        <x:v>Boyarmadde lotları ayrıldı ve lot uyumu doğrulandı</x:v>
      </x:c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</x:row>
    <x:row r="59" ht="23" customHeight="1">
      <x:c r="A59" s="38" t="n">
        <x:v>4</x:v>
      </x:c>
      <x:c r="B59" s="38" t="str">
        <x:v>Boyarmadde güç / konsantrasyon farkı değerlendirilerek miktarlar doğrulandı</x:v>
      </x:c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</x:row>
    <x:row r="60" ht="23" customHeight="1">
      <x:c r="A60" s="33" t="n">
        <x:v>5</x:v>
      </x:c>
      <x:c r="B60" s="33" t="str">
        <x:v>Yardımcı kimyasalların ürün adı, lotu ve miktarı kontrol edildi</x:v>
      </x:c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</x:row>
    <x:row r="61" ht="23" customHeight="1">
      <x:c r="A61" s="38" t="n">
        <x:v>6</x:v>
      </x:c>
      <x:c r="B61" s="38" t="str">
        <x:v>Elektrolit planı yalnızca onaylı reçeteye göre doğrulandı</x:v>
      </x:c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</x:row>
    <x:row r="62" ht="23" customHeight="1">
      <x:c r="A62" s="33" t="n">
        <x:v>7</x:v>
      </x:c>
      <x:c r="B62" s="33" t="str">
        <x:v>Alkali planı yalnızca onaylı reçeteye göre doğrulandı</x:v>
      </x:c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</x:row>
    <x:row r="63" ht="23" customHeight="1">
      <x:c r="A63" s="38" t="n">
        <x:v>8</x:v>
      </x:c>
      <x:c r="B63" s="38" t="str">
        <x:v>Asit / tampon planı yalnızca ilgili proses için doğrulandı</x:v>
      </x:c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</x:row>
    <x:row r="64" ht="23" customHeight="1">
      <x:c r="A64" s="33" t="n">
        <x:v>9</x:v>
      </x:c>
      <x:c r="B64" s="33" t="str">
        <x:v>Boyarmadde ve kimyasalların çözündürme sıcaklığı ile süresi netleştirildi</x:v>
      </x:c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</x:row>
    <x:row r="65" ht="23" customHeight="1">
      <x:c r="A65" s="38" t="n">
        <x:v>10</x:v>
      </x:c>
      <x:c r="B65" s="38" t="str">
        <x:v>Filtrasyon / süzme gerekliliği tamamlandı</x:v>
      </x:c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</x:row>
    <x:row r="66" ht="23" customHeight="1">
      <x:c r="A66" s="33" t="n">
        <x:v>11</x:v>
      </x:c>
      <x:c r="B66" s="33" t="str">
        <x:v>Dozaj sırası, dozaj süreleri ve bekleme adımları netleştirildi</x:v>
      </x:c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</x:row>
    <x:row r="67" ht="23" customHeight="1">
      <x:c r="A67" s="38" t="n">
        <x:v>12</x:v>
      </x:c>
      <x:c r="B67" s="38" t="str">
        <x:v>Dozaj tankı hacmi ve pompa kapasitesi miktarlara uygun</x:v>
      </x:c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</x:row>
    <x:row r="68" ht="23" customHeight="1">
      <x:c r="A68" s="33" t="n">
        <x:v>13</x:v>
      </x:c>
      <x:c r="B68" s="33" t="str">
        <x:v>Kimyasal uyumluluk, köpük ve çökelme riski değerlendirildi</x:v>
      </x:c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</x:row>
    <x:row r="69" ht="23" customHeight="1">
      <x:c r="A69" s="38" t="n">
        <x:v>14</x:v>
      </x:c>
      <x:c r="B69" s="38" t="str">
        <x:v>Yıkama ve final işlem kimyasalları önceden hazırlandı</x:v>
      </x:c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</x:row>
    <x:row r="70" ht="23" customHeight="1"/>
    <x:row r="71" ht="23" customHeight="1">
      <x:c r="A71" s="64" t="str">
        <x:v>6. BAŞLATMA ÖNCESİ SON DOĞRULAMALAR</x:v>
      </x:c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6"/>
    </x:row>
    <x:row r="72" ht="42" customHeight="1">
      <x:c r="A72" s="13" t="str">
        <x:v>No</x:v>
      </x:c>
      <x:c r="B72" s="14" t="str">
        <x:v>Kontrol Maddesi</x:v>
      </x:c>
      <x:c r="C72" s="14" t="str"/>
      <x:c r="D72" s="14" t="str"/>
      <x:c r="E72" s="14" t="str"/>
      <x:c r="F72" s="14" t="str"/>
      <x:c r="G72" s="14" t="str"/>
      <x:c r="H72" s="14" t="str"/>
      <x:c r="I72" s="14" t="str">
        <x:v>Durum</x:v>
      </x:c>
      <x:c r="J72" s="14" t="str"/>
      <x:c r="K72" s="14" t="str">
        <x:v>Sorumlu</x:v>
      </x:c>
      <x:c r="L72" s="14" t="str"/>
      <x:c r="M72" s="14" t="str">
        <x:v>Açıklama / Kanıt</x:v>
      </x:c>
      <x:c r="N72" s="15" t="str"/>
    </x:row>
    <x:row r="73" ht="23" customHeight="1">
      <x:c r="A73" s="38" t="n">
        <x:v>1</x:v>
      </x:c>
      <x:c r="B73" s="38" t="str">
        <x:v>Numune standardı, ışık kabini ve renk referansı hazır</x:v>
      </x:c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</x:row>
    <x:row r="74" ht="23" customHeight="1">
      <x:c r="A74" s="33" t="n">
        <x:v>2</x:v>
      </x:c>
      <x:c r="B74" s="33" t="str">
        <x:v>Laboratuvar reçetesi ile işletme reçetesi karşılaştırıldı</x:v>
      </x:c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</x:row>
    <x:row r="75" ht="23" customHeight="1">
      <x:c r="A75" s="38" t="n">
        <x:v>3</x:v>
      </x:c>
      <x:c r="B75" s="38" t="str">
        <x:v>Operatör, vardiya amiri ve proses sorumlusu reçeteyi gözden geçirdi</x:v>
      </x:c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</x:row>
    <x:row r="76" ht="23" customHeight="1">
      <x:c r="A76" s="33" t="n">
        <x:v>4</x:v>
      </x:c>
      <x:c r="B76" s="33" t="str">
        <x:v>Kritik pH, sıcaklık, süre ve dozaj noktaları personele aktarıldı</x:v>
      </x:c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</x:row>
    <x:row r="77" ht="23" customHeight="1">
      <x:c r="A77" s="38" t="n">
        <x:v>5</x:v>
      </x:c>
      <x:c r="B77" s="38" t="str">
        <x:v>Proses diyagramı ve reçete makine ekranına / forma doğru girildi</x:v>
      </x:c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</x:row>
    <x:row r="78" ht="23" customHeight="1">
      <x:c r="A78" s="33" t="n">
        <x:v>6</x:v>
      </x:c>
      <x:c r="B78" s="33" t="str">
        <x:v>Acil durdurma, numune alma ve düzeltme sorumluları belirlendi</x:v>
      </x:c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</x:row>
    <x:row r="79" ht="23" customHeight="1">
      <x:c r="A79" s="38" t="n">
        <x:v>7</x:v>
      </x:c>
      <x:c r="B79" s="38" t="str">
        <x:v>Müşteri özel şartları ve final kalite kriterleri görünür durumda</x:v>
      </x:c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</x:row>
    <x:row r="80" ht="23" customHeight="1">
      <x:c r="A80" s="33" t="n">
        <x:v>8</x:v>
      </x:c>
      <x:c r="B80" s="33" t="str">
        <x:v>Boyama başlangıcı için tüm izin ve onaylar tamamlandı</x:v>
      </x:c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</x:row>
    <x:row r="81" ht="23" customHeight="1"/>
    <x:row r="82" ht="23" customHeight="1">
      <x:c r="A82" s="64" t="str">
        <x:v>7. OTOMATİK KONTROL ÖZETİ VE BAŞLATMA KARARI</x:v>
      </x:c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6"/>
    </x:row>
    <x:row r="83" ht="23" customHeight="1">
      <x:c r="A83" s="81" t="str">
        <x:v>Toplam Kontrol</x:v>
      </x:c>
      <x:c r="B83" s="81"/>
      <x:c r="C83" s="38" t="n">
        <x:f>COUNTA(K32:K41)+COUNTA(J45:J52)+COUNTA(K56:K69)+COUNTA(I73:I80)</x:f>
        <x:v>0</x:v>
      </x:c>
      <x:c r="D83" s="38"/>
      <x:c r="E83" s="38"/>
      <x:c r="F83" s="38"/>
      <x:c r="G83" s="81" t="str">
        <x:v>Uygun</x:v>
      </x:c>
      <x:c r="H83" s="81"/>
      <x:c r="I83" s="38" t="n">
        <x:f>COUNTIF(K32:K41,"Uygun")+COUNTIF(J45:J52,"Uygun")+COUNTIF(K56:K69,"Uygun")+COUNTIF(I73:I80,"Uygun")</x:f>
        <x:v>0</x:v>
      </x:c>
      <x:c r="J83" s="38"/>
      <x:c r="K83" s="38"/>
      <x:c r="L83" s="38"/>
      <x:c r="M83" s="38"/>
      <x:c r="N83" s="38"/>
    </x:row>
    <x:row r="84" ht="23" customHeight="1">
      <x:c r="A84" s="81" t="str">
        <x:v>Eksik</x:v>
      </x:c>
      <x:c r="B84" s="81"/>
      <x:c r="C84" s="38" t="n">
        <x:f>COUNTIF(K32:K41,"Eksik")+COUNTIF(J45:J52,"Eksik")+COUNTIF(K56:K69,"Eksik")+COUNTIF(I73:I80,"Eksik")</x:f>
        <x:v>0</x:v>
      </x:c>
      <x:c r="D84" s="38"/>
      <x:c r="E84" s="38"/>
      <x:c r="F84" s="38"/>
      <x:c r="G84" s="81" t="str">
        <x:v>Uygun Değil</x:v>
      </x:c>
      <x:c r="H84" s="81"/>
      <x:c r="I84" s="38" t="n">
        <x:f>COUNTIF(K32:K41,"Uygun Değil")+COUNTIF(J45:J52,"Uygun Değil")+COUNTIF(K56:K69,"Uygun Değil")+COUNTIF(I73:I80,"Uygun Değil")</x:f>
        <x:v>0</x:v>
      </x:c>
      <x:c r="J84" s="38"/>
      <x:c r="K84" s="38"/>
      <x:c r="L84" s="38"/>
      <x:c r="M84" s="38"/>
      <x:c r="N84" s="38"/>
    </x:row>
    <x:row r="85" ht="23" customHeight="1">
      <x:c r="A85" s="81" t="str">
        <x:v>Uygulanamaz</x:v>
      </x:c>
      <x:c r="B85" s="81"/>
      <x:c r="C85" s="38" t="n">
        <x:f>COUNTIF(K32:K41,"Uygulanamaz")+COUNTIF(J45:J52,"Uygulanamaz")+COUNTIF(K56:K69,"Uygulanamaz")+COUNTIF(I73:I80,"Uygulanamaz")</x:f>
        <x:v>0</x:v>
      </x:c>
      <x:c r="D85" s="38"/>
      <x:c r="E85" s="38"/>
      <x:c r="F85" s="38"/>
      <x:c r="G85" s="81" t="str">
        <x:v>Tamamlanma Oranı</x:v>
      </x:c>
      <x:c r="H85" s="81"/>
      <x:c r="I85" s="94" t="str">
        <x:f>IF(C83=0,"",(COUNTA(K32:K41)+COUNTA(J45:J52)+COUNTA(K56:K69)+COUNTA(I73:I80))/(10+8+14+8))</x:f>
      </x:c>
      <x:c r="J85" s="94"/>
      <x:c r="K85" s="94"/>
      <x:c r="L85" s="94"/>
      <x:c r="M85" s="94"/>
      <x:c r="N85" s="94"/>
    </x:row>
    <x:row r="86" ht="23" customHeight="1">
      <x:c r="A86" s="81" t="str">
        <x:v>Risk Seviyesi</x:v>
      </x:c>
      <x:c r="B86" s="81"/>
      <x:c r="C86" s="38" t="str">
        <x:f>IF(I84&gt;0,"Kritik",IF(C84&gt;0,"Yüksek",IF(I85&lt;1,"Orta","Düşük")))</x:f>
        <x:v>Orta</x:v>
      </x:c>
      <x:c r="D86" s="38"/>
      <x:c r="E86" s="38"/>
      <x:c r="F86" s="38"/>
      <x:c r="G86" s="81" t="str">
        <x:v>Başlatma Kararı</x:v>
      </x:c>
      <x:c r="H86" s="81"/>
      <x:c r="I86" s="38" t="str">
        <x:f>IF(I84&gt;0,"BAŞLATMA",IF(C84&gt;0,"EKSİKLERİ TAMAMLA",IF(I85&lt;1,"KONTROL EKSİK","PROSES BAŞLATILABİLİR")))</x:f>
        <x:v>KONTROL EKSİK</x:v>
      </x:c>
      <x:c r="J86" s="38"/>
      <x:c r="K86" s="38"/>
      <x:c r="L86" s="38"/>
      <x:c r="M86" s="38"/>
      <x:c r="N86" s="38"/>
    </x:row>
    <x:row r="87" ht="23" customHeight="1"/>
    <x:row r="88" ht="23" customHeight="1">
      <x:c r="A88" s="64" t="str">
        <x:v>8. BAŞLATMA ONAYLARI</x:v>
      </x:c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6"/>
    </x:row>
    <x:row r="89" ht="23" customHeight="1">
      <x:c r="A89" s="96" t="str">
        <x:v>Operatör</x:v>
      </x:c>
      <x:c r="B89" s="96"/>
      <x:c r="C89" s="96"/>
      <x:c r="D89" s="96" t="str">
        <x:v>Vardiya Amiri / Mühendisi</x:v>
      </x:c>
      <x:c r="E89" s="96"/>
      <x:c r="F89" s="96"/>
      <x:c r="G89" s="96" t="str">
        <x:v>Proses Sorumlusu</x:v>
      </x:c>
      <x:c r="H89" s="96"/>
      <x:c r="I89" s="96"/>
      <x:c r="J89" s="96"/>
      <x:c r="K89" s="96" t="str">
        <x:v>Laboratuvar / Kalite Onayı</x:v>
      </x:c>
      <x:c r="L89" s="96"/>
      <x:c r="M89" s="96"/>
      <x:c r="N89" s="96"/>
    </x:row>
    <x:row r="90" ht="30" customHeight="1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</x:row>
    <x:row r="91" ht="30" customHeight="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</x:row>
    <x:row r="92" ht="30" customHeight="1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</x:row>
    <x:row r="93" ht="23" customHeight="1"/>
    <x:row r="94" ht="23" customHeight="1">
      <x:c r="A94" s="50" t="str">
        <x:v>Bahri Budak Eğitim Notları • bahribudak.com • Boyama Başlangıç Kontrol Listesi Revizyonu: 2026-R1</x:v>
      </x:c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</x:row>
  </x:sheetData>
  <x:mergeCells>
    <x:mergeCell ref="A1:N2"/>
    <x:mergeCell ref="A3:N3"/>
    <x:mergeCell ref="A5:N5"/>
    <x:mergeCell ref="A6:B6"/>
    <x:mergeCell ref="C6:F6"/>
    <x:mergeCell ref="G6:H6"/>
    <x:mergeCell ref="I6:N6"/>
    <x:mergeCell ref="A7:B7"/>
    <x:mergeCell ref="C7:F7"/>
    <x:mergeCell ref="G7:H7"/>
    <x:mergeCell ref="I7:N7"/>
    <x:mergeCell ref="A8:B8"/>
    <x:mergeCell ref="C8:F8"/>
    <x:mergeCell ref="G8:H8"/>
    <x:mergeCell ref="I8:N8"/>
    <x:mergeCell ref="A9:B9"/>
    <x:mergeCell ref="C9:F9"/>
    <x:mergeCell ref="G9:H9"/>
    <x:mergeCell ref="I9:N9"/>
    <x:mergeCell ref="A10:B10"/>
    <x:mergeCell ref="C10:F10"/>
    <x:mergeCell ref="G10:H10"/>
    <x:mergeCell ref="I10:N10"/>
    <x:mergeCell ref="A11:B11"/>
    <x:mergeCell ref="C11:F11"/>
    <x:mergeCell ref="G11:H11"/>
    <x:mergeCell ref="I11:N11"/>
    <x:mergeCell ref="A12:B12"/>
    <x:mergeCell ref="C12:F12"/>
    <x:mergeCell ref="G12:H12"/>
    <x:mergeCell ref="I12:N12"/>
    <x:mergeCell ref="A13:B13"/>
    <x:mergeCell ref="C13:F13"/>
    <x:mergeCell ref="G13:H13"/>
    <x:mergeCell ref="I13:N13"/>
    <x:mergeCell ref="A14:B14"/>
    <x:mergeCell ref="C14:F14"/>
    <x:mergeCell ref="G14:H14"/>
    <x:mergeCell ref="I14:N14"/>
    <x:mergeCell ref="A15:B15"/>
    <x:mergeCell ref="C15:F15"/>
    <x:mergeCell ref="G15:H15"/>
    <x:mergeCell ref="I15:N15"/>
    <x:mergeCell ref="A16:B16"/>
    <x:mergeCell ref="C16:N17"/>
    <x:mergeCell ref="A19:N19"/>
    <x:mergeCell ref="A20:B20"/>
    <x:mergeCell ref="C20:F20"/>
    <x:mergeCell ref="G20:H20"/>
    <x:mergeCell ref="I20:N20"/>
    <x:mergeCell ref="A21:B21"/>
    <x:mergeCell ref="C21:F21"/>
    <x:mergeCell ref="G21:H21"/>
    <x:mergeCell ref="I21:N21"/>
    <x:mergeCell ref="A22:B22"/>
    <x:mergeCell ref="C22:F22"/>
    <x:mergeCell ref="G22:H22"/>
    <x:mergeCell ref="I22:N22"/>
    <x:mergeCell ref="A23:B23"/>
    <x:mergeCell ref="C23:F23"/>
    <x:mergeCell ref="G23:H23"/>
    <x:mergeCell ref="I23:N23"/>
    <x:mergeCell ref="A24:B24"/>
    <x:mergeCell ref="C24:F24"/>
    <x:mergeCell ref="G24:H24"/>
    <x:mergeCell ref="I24:N24"/>
    <x:mergeCell ref="A25:B25"/>
    <x:mergeCell ref="C25:F25"/>
    <x:mergeCell ref="G25:H25"/>
    <x:mergeCell ref="I25:N25"/>
    <x:mergeCell ref="A26:B26"/>
    <x:mergeCell ref="C26:F26"/>
    <x:mergeCell ref="G26:H26"/>
    <x:mergeCell ref="I26:N26"/>
    <x:mergeCell ref="A27:B27"/>
    <x:mergeCell ref="C27:N28"/>
    <x:mergeCell ref="A30:N30"/>
    <x:mergeCell ref="B31:H31"/>
    <x:mergeCell ref="I31:J31"/>
    <x:mergeCell ref="K31:L31"/>
    <x:mergeCell ref="B32:H32"/>
    <x:mergeCell ref="I32:J32"/>
    <x:mergeCell ref="K32:L32"/>
    <x:mergeCell ref="B33:H33"/>
    <x:mergeCell ref="I33:J33"/>
    <x:mergeCell ref="K33:L33"/>
    <x:mergeCell ref="B34:H34"/>
    <x:mergeCell ref="I34:J34"/>
    <x:mergeCell ref="K34:L34"/>
    <x:mergeCell ref="B35:H35"/>
    <x:mergeCell ref="I35:J35"/>
    <x:mergeCell ref="K35:L35"/>
    <x:mergeCell ref="B36:H36"/>
    <x:mergeCell ref="I36:J36"/>
    <x:mergeCell ref="K36:L36"/>
    <x:mergeCell ref="B37:H37"/>
    <x:mergeCell ref="I37:J37"/>
    <x:mergeCell ref="K37:L37"/>
    <x:mergeCell ref="B38:H38"/>
    <x:mergeCell ref="I38:J38"/>
    <x:mergeCell ref="K38:L38"/>
    <x:mergeCell ref="B39:H39"/>
    <x:mergeCell ref="I39:J39"/>
    <x:mergeCell ref="K39:L39"/>
    <x:mergeCell ref="B40:H40"/>
    <x:mergeCell ref="I40:J40"/>
    <x:mergeCell ref="K40:L40"/>
    <x:mergeCell ref="B41:H41"/>
    <x:mergeCell ref="I41:J41"/>
    <x:mergeCell ref="K41:L41"/>
    <x:mergeCell ref="A43:N43"/>
    <x:mergeCell ref="A44:C44"/>
    <x:mergeCell ref="D44:F44"/>
    <x:mergeCell ref="G44:H44"/>
    <x:mergeCell ref="J44:K44"/>
    <x:mergeCell ref="L44:M44"/>
    <x:mergeCell ref="A45:C45"/>
    <x:mergeCell ref="D45:F45"/>
    <x:mergeCell ref="G45:H45"/>
    <x:mergeCell ref="J45:K45"/>
    <x:mergeCell ref="L45:M45"/>
    <x:mergeCell ref="A46:C46"/>
    <x:mergeCell ref="D46:F46"/>
    <x:mergeCell ref="G46:H46"/>
    <x:mergeCell ref="J46:K46"/>
    <x:mergeCell ref="L46:M46"/>
    <x:mergeCell ref="A47:C47"/>
    <x:mergeCell ref="D47:F47"/>
    <x:mergeCell ref="G47:H47"/>
    <x:mergeCell ref="J47:K47"/>
    <x:mergeCell ref="L47:M47"/>
    <x:mergeCell ref="A48:C48"/>
    <x:mergeCell ref="D48:F48"/>
    <x:mergeCell ref="G48:H48"/>
    <x:mergeCell ref="J48:K48"/>
    <x:mergeCell ref="L48:M48"/>
    <x:mergeCell ref="A49:C49"/>
    <x:mergeCell ref="D49:F49"/>
    <x:mergeCell ref="G49:H49"/>
    <x:mergeCell ref="J49:K49"/>
    <x:mergeCell ref="L49:M49"/>
    <x:mergeCell ref="A50:C50"/>
    <x:mergeCell ref="D50:F50"/>
    <x:mergeCell ref="G50:H50"/>
    <x:mergeCell ref="J50:K50"/>
    <x:mergeCell ref="L50:M50"/>
    <x:mergeCell ref="A51:C51"/>
    <x:mergeCell ref="D51:F51"/>
    <x:mergeCell ref="G51:H51"/>
    <x:mergeCell ref="J51:K51"/>
    <x:mergeCell ref="L51:M51"/>
    <x:mergeCell ref="A52:C52"/>
    <x:mergeCell ref="D52:F52"/>
    <x:mergeCell ref="G52:H52"/>
    <x:mergeCell ref="J52:K52"/>
    <x:mergeCell ref="L52:M52"/>
    <x:mergeCell ref="A54:N54"/>
    <x:mergeCell ref="B55:H55"/>
    <x:mergeCell ref="I55:J55"/>
    <x:mergeCell ref="K55:L55"/>
    <x:mergeCell ref="B56:H56"/>
    <x:mergeCell ref="I56:J56"/>
    <x:mergeCell ref="K56:L56"/>
    <x:mergeCell ref="B57:H57"/>
    <x:mergeCell ref="I57:J57"/>
    <x:mergeCell ref="K57:L57"/>
    <x:mergeCell ref="B58:H58"/>
    <x:mergeCell ref="I58:J58"/>
    <x:mergeCell ref="K58:L58"/>
    <x:mergeCell ref="B59:H59"/>
    <x:mergeCell ref="I59:J59"/>
    <x:mergeCell ref="K59:L59"/>
    <x:mergeCell ref="B60:H60"/>
    <x:mergeCell ref="I60:J60"/>
    <x:mergeCell ref="K60:L60"/>
    <x:mergeCell ref="B61:H61"/>
    <x:mergeCell ref="I61:J61"/>
    <x:mergeCell ref="K61:L61"/>
    <x:mergeCell ref="B62:H62"/>
    <x:mergeCell ref="I62:J62"/>
    <x:mergeCell ref="K62:L62"/>
    <x:mergeCell ref="B63:H63"/>
    <x:mergeCell ref="I63:J63"/>
    <x:mergeCell ref="K63:L63"/>
    <x:mergeCell ref="B64:H64"/>
    <x:mergeCell ref="I64:J64"/>
    <x:mergeCell ref="K64:L64"/>
    <x:mergeCell ref="B65:H65"/>
    <x:mergeCell ref="I65:J65"/>
    <x:mergeCell ref="K65:L65"/>
    <x:mergeCell ref="B66:H66"/>
    <x:mergeCell ref="I66:J66"/>
    <x:mergeCell ref="K66:L66"/>
    <x:mergeCell ref="B67:H67"/>
    <x:mergeCell ref="I67:J67"/>
    <x:mergeCell ref="K67:L67"/>
    <x:mergeCell ref="B68:H68"/>
    <x:mergeCell ref="I68:J68"/>
    <x:mergeCell ref="K68:L68"/>
    <x:mergeCell ref="B69:H69"/>
    <x:mergeCell ref="I69:J69"/>
    <x:mergeCell ref="K69:L69"/>
    <x:mergeCell ref="A71:N71"/>
    <x:mergeCell ref="B72:H72"/>
    <x:mergeCell ref="I72:J72"/>
    <x:mergeCell ref="K72:L72"/>
    <x:mergeCell ref="M72:N72"/>
    <x:mergeCell ref="B73:H73"/>
    <x:mergeCell ref="I73:J73"/>
    <x:mergeCell ref="K73:L73"/>
    <x:mergeCell ref="M73:N73"/>
    <x:mergeCell ref="B74:H74"/>
    <x:mergeCell ref="I74:J74"/>
    <x:mergeCell ref="K74:L74"/>
    <x:mergeCell ref="M74:N74"/>
    <x:mergeCell ref="B75:H75"/>
    <x:mergeCell ref="I75:J75"/>
    <x:mergeCell ref="K75:L75"/>
    <x:mergeCell ref="M75:N75"/>
    <x:mergeCell ref="B76:H76"/>
    <x:mergeCell ref="I76:J76"/>
    <x:mergeCell ref="K76:L76"/>
    <x:mergeCell ref="M76:N76"/>
    <x:mergeCell ref="B77:H77"/>
    <x:mergeCell ref="I77:J77"/>
    <x:mergeCell ref="K77:L77"/>
    <x:mergeCell ref="M77:N77"/>
    <x:mergeCell ref="B78:H78"/>
    <x:mergeCell ref="I78:J78"/>
    <x:mergeCell ref="K78:L78"/>
    <x:mergeCell ref="M78:N78"/>
    <x:mergeCell ref="B79:H79"/>
    <x:mergeCell ref="I79:J79"/>
    <x:mergeCell ref="K79:L79"/>
    <x:mergeCell ref="M79:N79"/>
    <x:mergeCell ref="B80:H80"/>
    <x:mergeCell ref="I80:J80"/>
    <x:mergeCell ref="K80:L80"/>
    <x:mergeCell ref="M80:N80"/>
    <x:mergeCell ref="A82:N82"/>
    <x:mergeCell ref="A83:B83"/>
    <x:mergeCell ref="C83:F83"/>
    <x:mergeCell ref="G83:H83"/>
    <x:mergeCell ref="I83:N83"/>
    <x:mergeCell ref="A84:B84"/>
    <x:mergeCell ref="C84:F84"/>
    <x:mergeCell ref="G84:H84"/>
    <x:mergeCell ref="I84:N84"/>
    <x:mergeCell ref="A85:B85"/>
    <x:mergeCell ref="C85:F85"/>
    <x:mergeCell ref="G85:H85"/>
    <x:mergeCell ref="I85:N85"/>
    <x:mergeCell ref="A86:B86"/>
    <x:mergeCell ref="C86:F86"/>
    <x:mergeCell ref="G86:H86"/>
    <x:mergeCell ref="I86:N86"/>
    <x:mergeCell ref="A88:N88"/>
    <x:mergeCell ref="A89:C89"/>
    <x:mergeCell ref="D89:F89"/>
    <x:mergeCell ref="G89:J89"/>
    <x:mergeCell ref="K89:N89"/>
    <x:mergeCell ref="A90:C92"/>
    <x:mergeCell ref="D90:F92"/>
    <x:mergeCell ref="G90:J92"/>
    <x:mergeCell ref="K90:N92"/>
    <x:mergeCell ref="A94:N94"/>
  </x:mergeCells>
  <x:conditionalFormatting sqref="C86:F86">
    <x:cfRule type="expression" dxfId="0" priority="1">
      <x:formula>$C86="Kritik"</x:formula>
    </x:cfRule>
    <x:cfRule type="expression" dxfId="1" priority="2">
      <x:formula>$C86="Yüksek"</x:formula>
    </x:cfRule>
    <x:cfRule type="expression" dxfId="2" priority="3">
      <x:formula>$C86="Orta"</x:formula>
    </x:cfRule>
    <x:cfRule type="expression" dxfId="3" priority="4">
      <x:formula>$C86="Düşük"</x:formula>
    </x:cfRule>
  </x:conditionalFormatting>
  <x:conditionalFormatting sqref="I86:N86">
    <x:cfRule type="expression" dxfId="4" priority="5">
      <x:formula>$I86="PROSES BAŞLATILABİLİR"</x:formula>
    </x:cfRule>
    <x:cfRule type="expression" dxfId="5" priority="6">
      <x:formula>$I86="EKSİKLERİ TAMAMLA"</x:formula>
    </x:cfRule>
    <x:cfRule type="expression" dxfId="6" priority="7">
      <x:formula>$I86="BAŞLATMA"</x:formula>
    </x:cfRule>
  </x:conditionalFormatting>
  <x:dataValidations count="44">
    <x:dataValidation type="list" sqref="C10:F10">
      <x:formula1>Listeler!$E$2:$E$9</x:formula1>
    </x:dataValidation>
    <x:dataValidation type="list" sqref="I10:N10">
      <x:formula1>Listeler!$C$2:$C$4</x:formula1>
    </x:dataValidation>
    <x:dataValidation type="list" sqref="I11:N11">
      <x:formula1>Listeler!$G$2:$G$6</x:formula1>
    </x:dataValidation>
    <x:dataValidation type="list" sqref="C15:F15">
      <x:formula1>Listeler!$F$2:$F$11</x:formula1>
    </x:dataValidation>
    <x:dataValidation type="list" sqref="K32:L32">
      <x:formula1>Listeler!$A$2:$A$5</x:formula1>
    </x:dataValidation>
    <x:dataValidation type="list" sqref="K33:L33">
      <x:formula1>Listeler!$A$2:$A$5</x:formula1>
    </x:dataValidation>
    <x:dataValidation type="list" sqref="K34:L34">
      <x:formula1>Listeler!$A$2:$A$5</x:formula1>
    </x:dataValidation>
    <x:dataValidation type="list" sqref="K35:L35">
      <x:formula1>Listeler!$A$2:$A$5</x:formula1>
    </x:dataValidation>
    <x:dataValidation type="list" sqref="K36:L36">
      <x:formula1>Listeler!$A$2:$A$5</x:formula1>
    </x:dataValidation>
    <x:dataValidation type="list" sqref="K37:L37">
      <x:formula1>Listeler!$A$2:$A$5</x:formula1>
    </x:dataValidation>
    <x:dataValidation type="list" sqref="K38:L38">
      <x:formula1>Listeler!$A$2:$A$5</x:formula1>
    </x:dataValidation>
    <x:dataValidation type="list" sqref="K39:L39">
      <x:formula1>Listeler!$A$2:$A$5</x:formula1>
    </x:dataValidation>
    <x:dataValidation type="list" sqref="K40:L40">
      <x:formula1>Listeler!$A$2:$A$5</x:formula1>
    </x:dataValidation>
    <x:dataValidation type="list" sqref="K41:L41">
      <x:formula1>Listeler!$A$2:$A$5</x:formula1>
    </x:dataValidation>
    <x:dataValidation type="list" sqref="J45:K45">
      <x:formula1>Listeler!$A$2:$A$5</x:formula1>
    </x:dataValidation>
    <x:dataValidation type="list" sqref="J46:K46">
      <x:formula1>Listeler!$A$2:$A$5</x:formula1>
    </x:dataValidation>
    <x:dataValidation type="list" sqref="J47:K47">
      <x:formula1>Listeler!$A$2:$A$5</x:formula1>
    </x:dataValidation>
    <x:dataValidation type="list" sqref="J48:K48">
      <x:formula1>Listeler!$A$2:$A$5</x:formula1>
    </x:dataValidation>
    <x:dataValidation type="list" sqref="J49:K49">
      <x:formula1>Listeler!$A$2:$A$5</x:formula1>
    </x:dataValidation>
    <x:dataValidation type="list" sqref="J50:K50">
      <x:formula1>Listeler!$A$2:$A$5</x:formula1>
    </x:dataValidation>
    <x:dataValidation type="list" sqref="J51:K51">
      <x:formula1>Listeler!$A$2:$A$5</x:formula1>
    </x:dataValidation>
    <x:dataValidation type="list" sqref="J52:K52">
      <x:formula1>Listeler!$A$2:$A$5</x:formula1>
    </x:dataValidation>
    <x:dataValidation type="list" sqref="K56:L56">
      <x:formula1>Listeler!$A$2:$A$5</x:formula1>
    </x:dataValidation>
    <x:dataValidation type="list" sqref="K57:L57">
      <x:formula1>Listeler!$A$2:$A$5</x:formula1>
    </x:dataValidation>
    <x:dataValidation type="list" sqref="K58:L58">
      <x:formula1>Listeler!$A$2:$A$5</x:formula1>
    </x:dataValidation>
    <x:dataValidation type="list" sqref="K59:L59">
      <x:formula1>Listeler!$A$2:$A$5</x:formula1>
    </x:dataValidation>
    <x:dataValidation type="list" sqref="K60:L60">
      <x:formula1>Listeler!$A$2:$A$5</x:formula1>
    </x:dataValidation>
    <x:dataValidation type="list" sqref="K61:L61">
      <x:formula1>Listeler!$A$2:$A$5</x:formula1>
    </x:dataValidation>
    <x:dataValidation type="list" sqref="K62:L62">
      <x:formula1>Listeler!$A$2:$A$5</x:formula1>
    </x:dataValidation>
    <x:dataValidation type="list" sqref="K63:L63">
      <x:formula1>Listeler!$A$2:$A$5</x:formula1>
    </x:dataValidation>
    <x:dataValidation type="list" sqref="K64:L64">
      <x:formula1>Listeler!$A$2:$A$5</x:formula1>
    </x:dataValidation>
    <x:dataValidation type="list" sqref="K65:L65">
      <x:formula1>Listeler!$A$2:$A$5</x:formula1>
    </x:dataValidation>
    <x:dataValidation type="list" sqref="K66:L66">
      <x:formula1>Listeler!$A$2:$A$5</x:formula1>
    </x:dataValidation>
    <x:dataValidation type="list" sqref="K67:L67">
      <x:formula1>Listeler!$A$2:$A$5</x:formula1>
    </x:dataValidation>
    <x:dataValidation type="list" sqref="K68:L68">
      <x:formula1>Listeler!$A$2:$A$5</x:formula1>
    </x:dataValidation>
    <x:dataValidation type="list" sqref="K69:L69">
      <x:formula1>Listeler!$A$2:$A$5</x:formula1>
    </x:dataValidation>
    <x:dataValidation type="list" sqref="I73:J73">
      <x:formula1>Listeler!$A$2:$A$5</x:formula1>
    </x:dataValidation>
    <x:dataValidation type="list" sqref="I74:J74">
      <x:formula1>Listeler!$A$2:$A$5</x:formula1>
    </x:dataValidation>
    <x:dataValidation type="list" sqref="I75:J75">
      <x:formula1>Listeler!$A$2:$A$5</x:formula1>
    </x:dataValidation>
    <x:dataValidation type="list" sqref="I76:J76">
      <x:formula1>Listeler!$A$2:$A$5</x:formula1>
    </x:dataValidation>
    <x:dataValidation type="list" sqref="I77:J77">
      <x:formula1>Listeler!$A$2:$A$5</x:formula1>
    </x:dataValidation>
    <x:dataValidation type="list" sqref="I78:J78">
      <x:formula1>Listeler!$A$2:$A$5</x:formula1>
    </x:dataValidation>
    <x:dataValidation type="list" sqref="I79:J79">
      <x:formula1>Listeler!$A$2:$A$5</x:formula1>
    </x:dataValidation>
    <x:dataValidation type="list" sqref="I80:J80">
      <x:formula1>Listeler!$A$2:$A$5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4" max="14" width="12" hidden="0" customWidth="1"/>
    <x:col min="15" max="15" width="12" hidden="0" customWidth="1"/>
    <x:col min="16" max="16" width="10" hidden="0" customWidth="1"/>
    <x:col min="17" max="17" width="14" hidden="0" customWidth="1"/>
    <x:col min="18" max="18" width="24" hidden="0" customWidth="1"/>
    <x:col min="19" max="19" width="12" hidden="0" customWidth="1"/>
    <x:col min="20" max="20" width="18" hidden="0" customWidth="1"/>
    <x:col min="21" max="21" width="18" hidden="0" customWidth="1"/>
    <x:col min="22" max="22" width="32" hidden="0" customWidth="1"/>
  </x:cols>
  <x:sheetData>
    <x:row r="1">
      <x:c r="A1" s="42" t="str">
        <x:v>BOYAMA BAŞLANGIÇ KONTROL KAYITLARI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</x:row>
    <x:row r="4">
      <x:c r="A4" s="96" t="str">
        <x:v>Toplam Kontrol</x:v>
      </x:c>
      <x:c r="B4" s="96"/>
      <x:c r="C4" s="96"/>
      <x:c r="D4" s="96" t="str">
        <x:v>Başlatılabilir</x:v>
      </x:c>
      <x:c r="E4" s="96"/>
      <x:c r="F4" s="96"/>
      <x:c r="G4" s="96" t="str">
        <x:v>Eksikleri Tamamla</x:v>
      </x:c>
      <x:c r="H4" s="96"/>
      <x:c r="I4" s="96"/>
      <x:c r="J4" s="96" t="str">
        <x:v>Başlatılmayan</x:v>
      </x:c>
      <x:c r="K4" s="96"/>
      <x:c r="L4" s="96"/>
      <x:c r="M4" s="96" t="str">
        <x:v>Ortalama Tamamlanma</x:v>
      </x:c>
      <x:c r="N4" s="96"/>
      <x:c r="O4" s="96"/>
    </x:row>
    <x:row r="5">
      <x:c r="A5" s="100" t="n">
        <x:f>COUNTA(B9:B208)</x:f>
        <x:v>0</x:v>
      </x:c>
      <x:c r="B5" s="100"/>
      <x:c r="C5" s="100"/>
      <x:c r="D5" s="100" t="n">
        <x:f>COUNTIF(R9:R208,"PROSES BAŞLATILABİLİR")</x:f>
        <x:v>0</x:v>
      </x:c>
      <x:c r="E5" s="100"/>
      <x:c r="F5" s="100"/>
      <x:c r="G5" s="100" t="n">
        <x:f>COUNTIF(R9:R208,"EKSİKLERİ TAMAMLA")</x:f>
        <x:v>0</x:v>
      </x:c>
      <x:c r="H5" s="100"/>
      <x:c r="I5" s="100"/>
      <x:c r="J5" s="100" t="n">
        <x:f>COUNTIF(R9:R208,"BAŞLATMA")</x:f>
        <x:v>0</x:v>
      </x:c>
      <x:c r="K5" s="100"/>
      <x:c r="L5" s="100"/>
      <x:c r="M5" s="104" t="n">
        <x:f>IFERROR(AVERAGE(Q9:Q208),0)</x:f>
        <x:v>0</x:v>
      </x:c>
      <x:c r="N5" s="104"/>
      <x:c r="O5" s="104"/>
    </x:row>
    <x:row r="6">
      <x:c r="A6" s="100"/>
      <x:c r="B6" s="100"/>
      <x:c r="C6" s="100"/>
      <x:c r="D6" s="100"/>
      <x:c r="E6" s="100"/>
      <x:c r="F6" s="100"/>
      <x:c r="G6" s="100"/>
      <x:c r="H6" s="100"/>
      <x:c r="I6" s="100"/>
      <x:c r="J6" s="100"/>
      <x:c r="K6" s="100"/>
      <x:c r="L6" s="100"/>
      <x:c r="M6" s="104"/>
      <x:c r="N6" s="104"/>
      <x:c r="O6" s="104"/>
    </x:row>
    <x:row r="8" ht="23" customHeight="1">
      <x:c r="A8" s="13" t="str">
        <x:v>Tarih</x:v>
      </x:c>
      <x:c r="B8" s="14" t="str">
        <x:v>Form No</x:v>
      </x:c>
      <x:c r="C8" s="14" t="str">
        <x:v>Müşteri</x:v>
      </x:c>
      <x:c r="D8" s="14" t="str">
        <x:v>Sipariş / Parti</x:v>
      </x:c>
      <x:c r="E8" s="14" t="str">
        <x:v>Kumaş Cinsi</x:v>
      </x:c>
      <x:c r="F8" s="14" t="str">
        <x:v>Kompozisyon</x:v>
      </x:c>
      <x:c r="G8" s="14" t="str">
        <x:v>Renk</x:v>
      </x:c>
      <x:c r="H8" s="14" t="str">
        <x:v>Renk Grubu</x:v>
      </x:c>
      <x:c r="I8" s="14" t="str">
        <x:v>Proses Tipi</x:v>
      </x:c>
      <x:c r="J8" s="14" t="str">
        <x:v>Parti kg</x:v>
      </x:c>
      <x:c r="K8" s="14" t="str">
        <x:v>Makine</x:v>
      </x:c>
      <x:c r="L8" s="14" t="str">
        <x:v>Flotte</x:v>
      </x:c>
      <x:c r="M8" s="14" t="str">
        <x:v>Banyo L</x:v>
      </x:c>
      <x:c r="N8" s="14" t="str">
        <x:v>Su Sertliği</x:v>
      </x:c>
      <x:c r="O8" s="14" t="str">
        <x:v>Başlangıç pH</x:v>
      </x:c>
      <x:c r="P8" s="14" t="str">
        <x:v>Uygun</x:v>
      </x:c>
      <x:c r="Q8" s="14" t="str">
        <x:v>Tamamlanma %</x:v>
      </x:c>
      <x:c r="R8" s="14" t="str">
        <x:v>Başlatma Kararı</x:v>
      </x:c>
      <x:c r="S8" s="14" t="str">
        <x:v>Risk</x:v>
      </x:c>
      <x:c r="T8" s="14" t="str">
        <x:v>Sorumlu</x:v>
      </x:c>
      <x:c r="U8" s="14" t="str">
        <x:v>Reçete No / Rev.</x:v>
      </x:c>
      <x:c r="V8" s="15" t="str">
        <x:v>Açıklama</x:v>
      </x:c>
    </x:row>
    <x:row r="9" ht="23" customHeight="1">
      <x:c r="A9" s="92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94"/>
      <x:c r="R9" s="38"/>
      <x:c r="S9" s="38"/>
      <x:c r="T9" s="38"/>
      <x:c r="U9" s="38"/>
      <x:c r="V9" s="38"/>
    </x:row>
    <x:row r="10" ht="23" customHeight="1">
      <x:c r="A10" s="106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108"/>
      <x:c r="R10" s="33"/>
      <x:c r="S10" s="33"/>
      <x:c r="T10" s="33"/>
      <x:c r="U10" s="33"/>
      <x:c r="V10" s="33"/>
    </x:row>
    <x:row r="11" ht="23" customHeight="1">
      <x:c r="A11" s="92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94"/>
      <x:c r="R11" s="38"/>
      <x:c r="S11" s="38"/>
      <x:c r="T11" s="38"/>
      <x:c r="U11" s="38"/>
      <x:c r="V11" s="38"/>
    </x:row>
    <x:row r="12" ht="23" customHeight="1">
      <x:c r="A12" s="106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108"/>
      <x:c r="R12" s="33"/>
      <x:c r="S12" s="33"/>
      <x:c r="T12" s="33"/>
      <x:c r="U12" s="33"/>
      <x:c r="V12" s="33"/>
    </x:row>
    <x:row r="13" ht="23" customHeight="1">
      <x:c r="A13" s="92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94"/>
      <x:c r="R13" s="38"/>
      <x:c r="S13" s="38"/>
      <x:c r="T13" s="38"/>
      <x:c r="U13" s="38"/>
      <x:c r="V13" s="38"/>
    </x:row>
    <x:row r="14" ht="23" customHeight="1">
      <x:c r="A14" s="106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108"/>
      <x:c r="R14" s="33"/>
      <x:c r="S14" s="33"/>
      <x:c r="T14" s="33"/>
      <x:c r="U14" s="33"/>
      <x:c r="V14" s="33"/>
    </x:row>
    <x:row r="15" ht="23" customHeight="1">
      <x:c r="A15" s="92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94"/>
      <x:c r="R15" s="38"/>
      <x:c r="S15" s="38"/>
      <x:c r="T15" s="38"/>
      <x:c r="U15" s="38"/>
      <x:c r="V15" s="38"/>
    </x:row>
    <x:row r="16" ht="23" customHeight="1">
      <x:c r="A16" s="106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108"/>
      <x:c r="R16" s="33"/>
      <x:c r="S16" s="33"/>
      <x:c r="T16" s="33"/>
      <x:c r="U16" s="33"/>
      <x:c r="V16" s="33"/>
    </x:row>
    <x:row r="17" ht="23" customHeight="1">
      <x:c r="A17" s="92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94"/>
      <x:c r="R17" s="38"/>
      <x:c r="S17" s="38"/>
      <x:c r="T17" s="38"/>
      <x:c r="U17" s="38"/>
      <x:c r="V17" s="38"/>
    </x:row>
    <x:row r="18" ht="23" customHeight="1">
      <x:c r="A18" s="106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108"/>
      <x:c r="R18" s="33"/>
      <x:c r="S18" s="33"/>
      <x:c r="T18" s="33"/>
      <x:c r="U18" s="33"/>
      <x:c r="V18" s="33"/>
    </x:row>
    <x:row r="19" ht="23" customHeight="1">
      <x:c r="A19" s="92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94"/>
      <x:c r="R19" s="38"/>
      <x:c r="S19" s="38"/>
      <x:c r="T19" s="38"/>
      <x:c r="U19" s="38"/>
      <x:c r="V19" s="38"/>
    </x:row>
    <x:row r="20" ht="23" customHeight="1">
      <x:c r="A20" s="106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108"/>
      <x:c r="R20" s="33"/>
      <x:c r="S20" s="33"/>
      <x:c r="T20" s="33"/>
      <x:c r="U20" s="33"/>
      <x:c r="V20" s="33"/>
    </x:row>
    <x:row r="21" ht="23" customHeight="1">
      <x:c r="A21" s="92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94"/>
      <x:c r="R21" s="38"/>
      <x:c r="S21" s="38"/>
      <x:c r="T21" s="38"/>
      <x:c r="U21" s="38"/>
      <x:c r="V21" s="38"/>
    </x:row>
    <x:row r="22" ht="23" customHeight="1">
      <x:c r="A22" s="106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108"/>
      <x:c r="R22" s="33"/>
      <x:c r="S22" s="33"/>
      <x:c r="T22" s="33"/>
      <x:c r="U22" s="33"/>
      <x:c r="V22" s="33"/>
    </x:row>
    <x:row r="23" ht="23" customHeight="1">
      <x:c r="A23" s="92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94"/>
      <x:c r="R23" s="38"/>
      <x:c r="S23" s="38"/>
      <x:c r="T23" s="38"/>
      <x:c r="U23" s="38"/>
      <x:c r="V23" s="38"/>
    </x:row>
    <x:row r="24" ht="23" customHeight="1">
      <x:c r="A24" s="106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108"/>
      <x:c r="R24" s="33"/>
      <x:c r="S24" s="33"/>
      <x:c r="T24" s="33"/>
      <x:c r="U24" s="33"/>
      <x:c r="V24" s="33"/>
    </x:row>
    <x:row r="25" ht="23" customHeight="1">
      <x:c r="A25" s="92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94"/>
      <x:c r="R25" s="38"/>
      <x:c r="S25" s="38"/>
      <x:c r="T25" s="38"/>
      <x:c r="U25" s="38"/>
      <x:c r="V25" s="38"/>
    </x:row>
    <x:row r="26" ht="23" customHeight="1">
      <x:c r="A26" s="106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108"/>
      <x:c r="R26" s="33"/>
      <x:c r="S26" s="33"/>
      <x:c r="T26" s="33"/>
      <x:c r="U26" s="33"/>
      <x:c r="V26" s="33"/>
    </x:row>
    <x:row r="27" ht="23" customHeight="1">
      <x:c r="A27" s="92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94"/>
      <x:c r="R27" s="38"/>
      <x:c r="S27" s="38"/>
      <x:c r="T27" s="38"/>
      <x:c r="U27" s="38"/>
      <x:c r="V27" s="38"/>
    </x:row>
    <x:row r="28" ht="23" customHeight="1">
      <x:c r="A28" s="106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108"/>
      <x:c r="R28" s="33"/>
      <x:c r="S28" s="33"/>
      <x:c r="T28" s="33"/>
      <x:c r="U28" s="33"/>
      <x:c r="V28" s="33"/>
    </x:row>
    <x:row r="29" ht="23" customHeight="1">
      <x:c r="A29" s="92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94"/>
      <x:c r="R29" s="38"/>
      <x:c r="S29" s="38"/>
      <x:c r="T29" s="38"/>
      <x:c r="U29" s="38"/>
      <x:c r="V29" s="38"/>
    </x:row>
    <x:row r="30" ht="23" customHeight="1">
      <x:c r="A30" s="106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108"/>
      <x:c r="R30" s="33"/>
      <x:c r="S30" s="33"/>
      <x:c r="T30" s="33"/>
      <x:c r="U30" s="33"/>
      <x:c r="V30" s="33"/>
    </x:row>
    <x:row r="31" ht="23" customHeight="1">
      <x:c r="A31" s="92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94"/>
      <x:c r="R31" s="38"/>
      <x:c r="S31" s="38"/>
      <x:c r="T31" s="38"/>
      <x:c r="U31" s="38"/>
      <x:c r="V31" s="38"/>
    </x:row>
    <x:row r="32" ht="23" customHeight="1">
      <x:c r="A32" s="106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108"/>
      <x:c r="R32" s="33"/>
      <x:c r="S32" s="33"/>
      <x:c r="T32" s="33"/>
      <x:c r="U32" s="33"/>
      <x:c r="V32" s="33"/>
    </x:row>
    <x:row r="33" ht="23" customHeight="1">
      <x:c r="A33" s="92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94"/>
      <x:c r="R33" s="38"/>
      <x:c r="S33" s="38"/>
      <x:c r="T33" s="38"/>
      <x:c r="U33" s="38"/>
      <x:c r="V33" s="38"/>
    </x:row>
    <x:row r="34" ht="23" customHeight="1">
      <x:c r="A34" s="106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108"/>
      <x:c r="R34" s="33"/>
      <x:c r="S34" s="33"/>
      <x:c r="T34" s="33"/>
      <x:c r="U34" s="33"/>
      <x:c r="V34" s="33"/>
    </x:row>
    <x:row r="35" ht="23" customHeight="1">
      <x:c r="A35" s="92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94"/>
      <x:c r="R35" s="38"/>
      <x:c r="S35" s="38"/>
      <x:c r="T35" s="38"/>
      <x:c r="U35" s="38"/>
      <x:c r="V35" s="38"/>
    </x:row>
    <x:row r="36" ht="23" customHeight="1">
      <x:c r="A36" s="106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108"/>
      <x:c r="R36" s="33"/>
      <x:c r="S36" s="33"/>
      <x:c r="T36" s="33"/>
      <x:c r="U36" s="33"/>
      <x:c r="V36" s="33"/>
    </x:row>
    <x:row r="37" ht="23" customHeight="1">
      <x:c r="A37" s="92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94"/>
      <x:c r="R37" s="38"/>
      <x:c r="S37" s="38"/>
      <x:c r="T37" s="38"/>
      <x:c r="U37" s="38"/>
      <x:c r="V37" s="38"/>
    </x:row>
    <x:row r="38" ht="23" customHeight="1">
      <x:c r="A38" s="106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108"/>
      <x:c r="R38" s="33"/>
      <x:c r="S38" s="33"/>
      <x:c r="T38" s="33"/>
      <x:c r="U38" s="33"/>
      <x:c r="V38" s="33"/>
    </x:row>
    <x:row r="39" ht="23" customHeight="1">
      <x:c r="A39" s="92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94"/>
      <x:c r="R39" s="38"/>
      <x:c r="S39" s="38"/>
      <x:c r="T39" s="38"/>
      <x:c r="U39" s="38"/>
      <x:c r="V39" s="38"/>
    </x:row>
    <x:row r="40" ht="23" customHeight="1">
      <x:c r="A40" s="106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108"/>
      <x:c r="R40" s="33"/>
      <x:c r="S40" s="33"/>
      <x:c r="T40" s="33"/>
      <x:c r="U40" s="33"/>
      <x:c r="V40" s="33"/>
    </x:row>
    <x:row r="41" ht="23" customHeight="1">
      <x:c r="A41" s="92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94"/>
      <x:c r="R41" s="38"/>
      <x:c r="S41" s="38"/>
      <x:c r="T41" s="38"/>
      <x:c r="U41" s="38"/>
      <x:c r="V41" s="38"/>
    </x:row>
    <x:row r="42" ht="23" customHeight="1">
      <x:c r="A42" s="106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108"/>
      <x:c r="R42" s="33"/>
      <x:c r="S42" s="33"/>
      <x:c r="T42" s="33"/>
      <x:c r="U42" s="33"/>
      <x:c r="V42" s="33"/>
    </x:row>
    <x:row r="43" ht="23" customHeight="1">
      <x:c r="A43" s="92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94"/>
      <x:c r="R43" s="38"/>
      <x:c r="S43" s="38"/>
      <x:c r="T43" s="38"/>
      <x:c r="U43" s="38"/>
      <x:c r="V43" s="38"/>
    </x:row>
    <x:row r="44" ht="23" customHeight="1">
      <x:c r="A44" s="106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108"/>
      <x:c r="R44" s="33"/>
      <x:c r="S44" s="33"/>
      <x:c r="T44" s="33"/>
      <x:c r="U44" s="33"/>
      <x:c r="V44" s="33"/>
    </x:row>
    <x:row r="45" ht="23" customHeight="1">
      <x:c r="A45" s="92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94"/>
      <x:c r="R45" s="38"/>
      <x:c r="S45" s="38"/>
      <x:c r="T45" s="38"/>
      <x:c r="U45" s="38"/>
      <x:c r="V45" s="38"/>
    </x:row>
    <x:row r="46" ht="23" customHeight="1">
      <x:c r="A46" s="106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108"/>
      <x:c r="R46" s="33"/>
      <x:c r="S46" s="33"/>
      <x:c r="T46" s="33"/>
      <x:c r="U46" s="33"/>
      <x:c r="V46" s="33"/>
    </x:row>
    <x:row r="47" ht="23" customHeight="1">
      <x:c r="A47" s="92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94"/>
      <x:c r="R47" s="38"/>
      <x:c r="S47" s="38"/>
      <x:c r="T47" s="38"/>
      <x:c r="U47" s="38"/>
      <x:c r="V47" s="38"/>
    </x:row>
    <x:row r="48" ht="23" customHeight="1">
      <x:c r="A48" s="106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108"/>
      <x:c r="R48" s="33"/>
      <x:c r="S48" s="33"/>
      <x:c r="T48" s="33"/>
      <x:c r="U48" s="33"/>
      <x:c r="V48" s="33"/>
    </x:row>
    <x:row r="49" ht="23" customHeight="1">
      <x:c r="A49" s="92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94"/>
      <x:c r="R49" s="38"/>
      <x:c r="S49" s="38"/>
      <x:c r="T49" s="38"/>
      <x:c r="U49" s="38"/>
      <x:c r="V49" s="38"/>
    </x:row>
    <x:row r="50" ht="23" customHeight="1">
      <x:c r="A50" s="106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108"/>
      <x:c r="R50" s="33"/>
      <x:c r="S50" s="33"/>
      <x:c r="T50" s="33"/>
      <x:c r="U50" s="33"/>
      <x:c r="V50" s="33"/>
    </x:row>
    <x:row r="51" ht="23" customHeight="1">
      <x:c r="A51" s="92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94"/>
      <x:c r="R51" s="38"/>
      <x:c r="S51" s="38"/>
      <x:c r="T51" s="38"/>
      <x:c r="U51" s="38"/>
      <x:c r="V51" s="38"/>
    </x:row>
    <x:row r="52" ht="23" customHeight="1">
      <x:c r="A52" s="106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108"/>
      <x:c r="R52" s="33"/>
      <x:c r="S52" s="33"/>
      <x:c r="T52" s="33"/>
      <x:c r="U52" s="33"/>
      <x:c r="V52" s="33"/>
    </x:row>
    <x:row r="53" ht="23" customHeight="1">
      <x:c r="A53" s="92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94"/>
      <x:c r="R53" s="38"/>
      <x:c r="S53" s="38"/>
      <x:c r="T53" s="38"/>
      <x:c r="U53" s="38"/>
      <x:c r="V53" s="38"/>
    </x:row>
    <x:row r="54" ht="23" customHeight="1">
      <x:c r="A54" s="106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108"/>
      <x:c r="R54" s="33"/>
      <x:c r="S54" s="33"/>
      <x:c r="T54" s="33"/>
      <x:c r="U54" s="33"/>
      <x:c r="V54" s="33"/>
    </x:row>
    <x:row r="55" ht="23" customHeight="1">
      <x:c r="A55" s="92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94"/>
      <x:c r="R55" s="38"/>
      <x:c r="S55" s="38"/>
      <x:c r="T55" s="38"/>
      <x:c r="U55" s="38"/>
      <x:c r="V55" s="38"/>
    </x:row>
    <x:row r="56" ht="23" customHeight="1">
      <x:c r="A56" s="106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108"/>
      <x:c r="R56" s="33"/>
      <x:c r="S56" s="33"/>
      <x:c r="T56" s="33"/>
      <x:c r="U56" s="33"/>
      <x:c r="V56" s="33"/>
    </x:row>
    <x:row r="57" ht="23" customHeight="1">
      <x:c r="A57" s="92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94"/>
      <x:c r="R57" s="38"/>
      <x:c r="S57" s="38"/>
      <x:c r="T57" s="38"/>
      <x:c r="U57" s="38"/>
      <x:c r="V57" s="38"/>
    </x:row>
    <x:row r="58" ht="23" customHeight="1">
      <x:c r="A58" s="106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108"/>
      <x:c r="R58" s="33"/>
      <x:c r="S58" s="33"/>
      <x:c r="T58" s="33"/>
      <x:c r="U58" s="33"/>
      <x:c r="V58" s="33"/>
    </x:row>
    <x:row r="59" ht="23" customHeight="1">
      <x:c r="A59" s="92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94"/>
      <x:c r="R59" s="38"/>
      <x:c r="S59" s="38"/>
      <x:c r="T59" s="38"/>
      <x:c r="U59" s="38"/>
      <x:c r="V59" s="38"/>
    </x:row>
    <x:row r="60" ht="23" customHeight="1">
      <x:c r="A60" s="106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108"/>
      <x:c r="R60" s="33"/>
      <x:c r="S60" s="33"/>
      <x:c r="T60" s="33"/>
      <x:c r="U60" s="33"/>
      <x:c r="V60" s="33"/>
    </x:row>
    <x:row r="61" ht="23" customHeight="1">
      <x:c r="A61" s="92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94"/>
      <x:c r="R61" s="38"/>
      <x:c r="S61" s="38"/>
      <x:c r="T61" s="38"/>
      <x:c r="U61" s="38"/>
      <x:c r="V61" s="38"/>
    </x:row>
    <x:row r="62" ht="23" customHeight="1">
      <x:c r="A62" s="106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108"/>
      <x:c r="R62" s="33"/>
      <x:c r="S62" s="33"/>
      <x:c r="T62" s="33"/>
      <x:c r="U62" s="33"/>
      <x:c r="V62" s="33"/>
    </x:row>
    <x:row r="63" ht="23" customHeight="1">
      <x:c r="A63" s="92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94"/>
      <x:c r="R63" s="38"/>
      <x:c r="S63" s="38"/>
      <x:c r="T63" s="38"/>
      <x:c r="U63" s="38"/>
      <x:c r="V63" s="38"/>
    </x:row>
    <x:row r="64" ht="23" customHeight="1">
      <x:c r="A64" s="106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108"/>
      <x:c r="R64" s="33"/>
      <x:c r="S64" s="33"/>
      <x:c r="T64" s="33"/>
      <x:c r="U64" s="33"/>
      <x:c r="V64" s="33"/>
    </x:row>
    <x:row r="65" ht="23" customHeight="1">
      <x:c r="A65" s="92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94"/>
      <x:c r="R65" s="38"/>
      <x:c r="S65" s="38"/>
      <x:c r="T65" s="38"/>
      <x:c r="U65" s="38"/>
      <x:c r="V65" s="38"/>
    </x:row>
    <x:row r="66" ht="23" customHeight="1">
      <x:c r="A66" s="106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108"/>
      <x:c r="R66" s="33"/>
      <x:c r="S66" s="33"/>
      <x:c r="T66" s="33"/>
      <x:c r="U66" s="33"/>
      <x:c r="V66" s="33"/>
    </x:row>
    <x:row r="67" ht="23" customHeight="1">
      <x:c r="A67" s="92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94"/>
      <x:c r="R67" s="38"/>
      <x:c r="S67" s="38"/>
      <x:c r="T67" s="38"/>
      <x:c r="U67" s="38"/>
      <x:c r="V67" s="38"/>
    </x:row>
    <x:row r="68" ht="23" customHeight="1">
      <x:c r="A68" s="106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108"/>
      <x:c r="R68" s="33"/>
      <x:c r="S68" s="33"/>
      <x:c r="T68" s="33"/>
      <x:c r="U68" s="33"/>
      <x:c r="V68" s="33"/>
    </x:row>
    <x:row r="69" ht="23" customHeight="1">
      <x:c r="A69" s="92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94"/>
      <x:c r="R69" s="38"/>
      <x:c r="S69" s="38"/>
      <x:c r="T69" s="38"/>
      <x:c r="U69" s="38"/>
      <x:c r="V69" s="38"/>
    </x:row>
    <x:row r="70" ht="23" customHeight="1">
      <x:c r="A70" s="106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108"/>
      <x:c r="R70" s="33"/>
      <x:c r="S70" s="33"/>
      <x:c r="T70" s="33"/>
      <x:c r="U70" s="33"/>
      <x:c r="V70" s="33"/>
    </x:row>
    <x:row r="71" ht="23" customHeight="1">
      <x:c r="A71" s="92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94"/>
      <x:c r="R71" s="38"/>
      <x:c r="S71" s="38"/>
      <x:c r="T71" s="38"/>
      <x:c r="U71" s="38"/>
      <x:c r="V71" s="38"/>
    </x:row>
    <x:row r="72" ht="23" customHeight="1">
      <x:c r="A72" s="106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108"/>
      <x:c r="R72" s="33"/>
      <x:c r="S72" s="33"/>
      <x:c r="T72" s="33"/>
      <x:c r="U72" s="33"/>
      <x:c r="V72" s="33"/>
    </x:row>
    <x:row r="73" ht="23" customHeight="1">
      <x:c r="A73" s="92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94"/>
      <x:c r="R73" s="38"/>
      <x:c r="S73" s="38"/>
      <x:c r="T73" s="38"/>
      <x:c r="U73" s="38"/>
      <x:c r="V73" s="38"/>
    </x:row>
    <x:row r="74" ht="23" customHeight="1">
      <x:c r="A74" s="106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108"/>
      <x:c r="R74" s="33"/>
      <x:c r="S74" s="33"/>
      <x:c r="T74" s="33"/>
      <x:c r="U74" s="33"/>
      <x:c r="V74" s="33"/>
    </x:row>
    <x:row r="75" ht="23" customHeight="1">
      <x:c r="A75" s="92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94"/>
      <x:c r="R75" s="38"/>
      <x:c r="S75" s="38"/>
      <x:c r="T75" s="38"/>
      <x:c r="U75" s="38"/>
      <x:c r="V75" s="38"/>
    </x:row>
    <x:row r="76" ht="23" customHeight="1">
      <x:c r="A76" s="106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108"/>
      <x:c r="R76" s="33"/>
      <x:c r="S76" s="33"/>
      <x:c r="T76" s="33"/>
      <x:c r="U76" s="33"/>
      <x:c r="V76" s="33"/>
    </x:row>
    <x:row r="77" ht="23" customHeight="1">
      <x:c r="A77" s="92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94"/>
      <x:c r="R77" s="38"/>
      <x:c r="S77" s="38"/>
      <x:c r="T77" s="38"/>
      <x:c r="U77" s="38"/>
      <x:c r="V77" s="38"/>
    </x:row>
    <x:row r="78" ht="23" customHeight="1">
      <x:c r="A78" s="106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108"/>
      <x:c r="R78" s="33"/>
      <x:c r="S78" s="33"/>
      <x:c r="T78" s="33"/>
      <x:c r="U78" s="33"/>
      <x:c r="V78" s="33"/>
    </x:row>
    <x:row r="79" ht="23" customHeight="1">
      <x:c r="A79" s="92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94"/>
      <x:c r="R79" s="38"/>
      <x:c r="S79" s="38"/>
      <x:c r="T79" s="38"/>
      <x:c r="U79" s="38"/>
      <x:c r="V79" s="38"/>
    </x:row>
    <x:row r="80" ht="23" customHeight="1">
      <x:c r="A80" s="106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108"/>
      <x:c r="R80" s="33"/>
      <x:c r="S80" s="33"/>
      <x:c r="T80" s="33"/>
      <x:c r="U80" s="33"/>
      <x:c r="V80" s="33"/>
    </x:row>
    <x:row r="81" ht="23" customHeight="1">
      <x:c r="A81" s="92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94"/>
      <x:c r="R81" s="38"/>
      <x:c r="S81" s="38"/>
      <x:c r="T81" s="38"/>
      <x:c r="U81" s="38"/>
      <x:c r="V81" s="38"/>
    </x:row>
    <x:row r="82" ht="23" customHeight="1">
      <x:c r="A82" s="106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108"/>
      <x:c r="R82" s="33"/>
      <x:c r="S82" s="33"/>
      <x:c r="T82" s="33"/>
      <x:c r="U82" s="33"/>
      <x:c r="V82" s="33"/>
    </x:row>
    <x:row r="83" ht="23" customHeight="1">
      <x:c r="A83" s="92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94"/>
      <x:c r="R83" s="38"/>
      <x:c r="S83" s="38"/>
      <x:c r="T83" s="38"/>
      <x:c r="U83" s="38"/>
      <x:c r="V83" s="38"/>
    </x:row>
    <x:row r="84" ht="23" customHeight="1">
      <x:c r="A84" s="106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108"/>
      <x:c r="R84" s="33"/>
      <x:c r="S84" s="33"/>
      <x:c r="T84" s="33"/>
      <x:c r="U84" s="33"/>
      <x:c r="V84" s="33"/>
    </x:row>
    <x:row r="85" ht="23" customHeight="1">
      <x:c r="A85" s="92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94"/>
      <x:c r="R85" s="38"/>
      <x:c r="S85" s="38"/>
      <x:c r="T85" s="38"/>
      <x:c r="U85" s="38"/>
      <x:c r="V85" s="38"/>
    </x:row>
    <x:row r="86" ht="23" customHeight="1">
      <x:c r="A86" s="106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108"/>
      <x:c r="R86" s="33"/>
      <x:c r="S86" s="33"/>
      <x:c r="T86" s="33"/>
      <x:c r="U86" s="33"/>
      <x:c r="V86" s="33"/>
    </x:row>
    <x:row r="87" ht="23" customHeight="1">
      <x:c r="A87" s="92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94"/>
      <x:c r="R87" s="38"/>
      <x:c r="S87" s="38"/>
      <x:c r="T87" s="38"/>
      <x:c r="U87" s="38"/>
      <x:c r="V87" s="38"/>
    </x:row>
    <x:row r="88" ht="23" customHeight="1">
      <x:c r="A88" s="106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108"/>
      <x:c r="R88" s="33"/>
      <x:c r="S88" s="33"/>
      <x:c r="T88" s="33"/>
      <x:c r="U88" s="33"/>
      <x:c r="V88" s="33"/>
    </x:row>
    <x:row r="89" ht="23" customHeight="1">
      <x:c r="A89" s="92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94"/>
      <x:c r="R89" s="38"/>
      <x:c r="S89" s="38"/>
      <x:c r="T89" s="38"/>
      <x:c r="U89" s="38"/>
      <x:c r="V89" s="38"/>
    </x:row>
    <x:row r="90" ht="23" customHeight="1">
      <x:c r="A90" s="106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108"/>
      <x:c r="R90" s="33"/>
      <x:c r="S90" s="33"/>
      <x:c r="T90" s="33"/>
      <x:c r="U90" s="33"/>
      <x:c r="V90" s="33"/>
    </x:row>
    <x:row r="91" ht="23" customHeight="1">
      <x:c r="A91" s="92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94"/>
      <x:c r="R91" s="38"/>
      <x:c r="S91" s="38"/>
      <x:c r="T91" s="38"/>
      <x:c r="U91" s="38"/>
      <x:c r="V91" s="38"/>
    </x:row>
    <x:row r="92" ht="23" customHeight="1">
      <x:c r="A92" s="106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108"/>
      <x:c r="R92" s="33"/>
      <x:c r="S92" s="33"/>
      <x:c r="T92" s="33"/>
      <x:c r="U92" s="33"/>
      <x:c r="V92" s="33"/>
    </x:row>
    <x:row r="93" ht="23" customHeight="1">
      <x:c r="A93" s="92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94"/>
      <x:c r="R93" s="38"/>
      <x:c r="S93" s="38"/>
      <x:c r="T93" s="38"/>
      <x:c r="U93" s="38"/>
      <x:c r="V93" s="38"/>
    </x:row>
    <x:row r="94" ht="23" customHeight="1">
      <x:c r="A94" s="106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108"/>
      <x:c r="R94" s="33"/>
      <x:c r="S94" s="33"/>
      <x:c r="T94" s="33"/>
      <x:c r="U94" s="33"/>
      <x:c r="V94" s="33"/>
    </x:row>
    <x:row r="95" ht="23" customHeight="1">
      <x:c r="A95" s="92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94"/>
      <x:c r="R95" s="38"/>
      <x:c r="S95" s="38"/>
      <x:c r="T95" s="38"/>
      <x:c r="U95" s="38"/>
      <x:c r="V95" s="38"/>
    </x:row>
    <x:row r="96" ht="23" customHeight="1">
      <x:c r="A96" s="106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108"/>
      <x:c r="R96" s="33"/>
      <x:c r="S96" s="33"/>
      <x:c r="T96" s="33"/>
      <x:c r="U96" s="33"/>
      <x:c r="V96" s="33"/>
    </x:row>
    <x:row r="97" ht="23" customHeight="1">
      <x:c r="A97" s="92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94"/>
      <x:c r="R97" s="38"/>
      <x:c r="S97" s="38"/>
      <x:c r="T97" s="38"/>
      <x:c r="U97" s="38"/>
      <x:c r="V97" s="38"/>
    </x:row>
    <x:row r="98" ht="23" customHeight="1">
      <x:c r="A98" s="106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108"/>
      <x:c r="R98" s="33"/>
      <x:c r="S98" s="33"/>
      <x:c r="T98" s="33"/>
      <x:c r="U98" s="33"/>
      <x:c r="V98" s="33"/>
    </x:row>
    <x:row r="99" ht="23" customHeight="1">
      <x:c r="A99" s="92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94"/>
      <x:c r="R99" s="38"/>
      <x:c r="S99" s="38"/>
      <x:c r="T99" s="38"/>
      <x:c r="U99" s="38"/>
      <x:c r="V99" s="38"/>
    </x:row>
    <x:row r="100" ht="23" customHeight="1">
      <x:c r="A100" s="106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108"/>
      <x:c r="R100" s="33"/>
      <x:c r="S100" s="33"/>
      <x:c r="T100" s="33"/>
      <x:c r="U100" s="33"/>
      <x:c r="V100" s="33"/>
    </x:row>
    <x:row r="101" ht="23" customHeight="1">
      <x:c r="A101" s="92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94"/>
      <x:c r="R101" s="38"/>
      <x:c r="S101" s="38"/>
      <x:c r="T101" s="38"/>
      <x:c r="U101" s="38"/>
      <x:c r="V101" s="38"/>
    </x:row>
    <x:row r="102" ht="23" customHeight="1">
      <x:c r="A102" s="106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108"/>
      <x:c r="R102" s="33"/>
      <x:c r="S102" s="33"/>
      <x:c r="T102" s="33"/>
      <x:c r="U102" s="33"/>
      <x:c r="V102" s="33"/>
    </x:row>
    <x:row r="103" ht="23" customHeight="1">
      <x:c r="A103" s="92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94"/>
      <x:c r="R103" s="38"/>
      <x:c r="S103" s="38"/>
      <x:c r="T103" s="38"/>
      <x:c r="U103" s="38"/>
      <x:c r="V103" s="38"/>
    </x:row>
    <x:row r="104" ht="23" customHeight="1">
      <x:c r="A104" s="106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108"/>
      <x:c r="R104" s="33"/>
      <x:c r="S104" s="33"/>
      <x:c r="T104" s="33"/>
      <x:c r="U104" s="33"/>
      <x:c r="V104" s="33"/>
    </x:row>
    <x:row r="105" ht="23" customHeight="1">
      <x:c r="A105" s="92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94"/>
      <x:c r="R105" s="38"/>
      <x:c r="S105" s="38"/>
      <x:c r="T105" s="38"/>
      <x:c r="U105" s="38"/>
      <x:c r="V105" s="38"/>
    </x:row>
    <x:row r="106" ht="23" customHeight="1">
      <x:c r="A106" s="106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108"/>
      <x:c r="R106" s="33"/>
      <x:c r="S106" s="33"/>
      <x:c r="T106" s="33"/>
      <x:c r="U106" s="33"/>
      <x:c r="V106" s="33"/>
    </x:row>
    <x:row r="107" ht="23" customHeight="1">
      <x:c r="A107" s="92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94"/>
      <x:c r="R107" s="38"/>
      <x:c r="S107" s="38"/>
      <x:c r="T107" s="38"/>
      <x:c r="U107" s="38"/>
      <x:c r="V107" s="38"/>
    </x:row>
    <x:row r="108" ht="23" customHeight="1">
      <x:c r="A108" s="106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108"/>
      <x:c r="R108" s="33"/>
      <x:c r="S108" s="33"/>
      <x:c r="T108" s="33"/>
      <x:c r="U108" s="33"/>
      <x:c r="V108" s="33"/>
    </x:row>
    <x:row r="109" ht="23" customHeight="1">
      <x:c r="A109" s="92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94"/>
      <x:c r="R109" s="38"/>
      <x:c r="S109" s="38"/>
      <x:c r="T109" s="38"/>
      <x:c r="U109" s="38"/>
      <x:c r="V109" s="38"/>
    </x:row>
    <x:row r="110" ht="23" customHeight="1">
      <x:c r="A110" s="106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108"/>
      <x:c r="R110" s="33"/>
      <x:c r="S110" s="33"/>
      <x:c r="T110" s="33"/>
      <x:c r="U110" s="33"/>
      <x:c r="V110" s="33"/>
    </x:row>
    <x:row r="111" ht="23" customHeight="1">
      <x:c r="A111" s="92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94"/>
      <x:c r="R111" s="38"/>
      <x:c r="S111" s="38"/>
      <x:c r="T111" s="38"/>
      <x:c r="U111" s="38"/>
      <x:c r="V111" s="38"/>
    </x:row>
    <x:row r="112" ht="23" customHeight="1">
      <x:c r="A112" s="106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108"/>
      <x:c r="R112" s="33"/>
      <x:c r="S112" s="33"/>
      <x:c r="T112" s="33"/>
      <x:c r="U112" s="33"/>
      <x:c r="V112" s="33"/>
    </x:row>
    <x:row r="113" ht="23" customHeight="1">
      <x:c r="A113" s="92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94"/>
      <x:c r="R113" s="38"/>
      <x:c r="S113" s="38"/>
      <x:c r="T113" s="38"/>
      <x:c r="U113" s="38"/>
      <x:c r="V113" s="38"/>
    </x:row>
    <x:row r="114" ht="23" customHeight="1">
      <x:c r="A114" s="106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108"/>
      <x:c r="R114" s="33"/>
      <x:c r="S114" s="33"/>
      <x:c r="T114" s="33"/>
      <x:c r="U114" s="33"/>
      <x:c r="V114" s="33"/>
    </x:row>
    <x:row r="115" ht="23" customHeight="1">
      <x:c r="A115" s="92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94"/>
      <x:c r="R115" s="38"/>
      <x:c r="S115" s="38"/>
      <x:c r="T115" s="38"/>
      <x:c r="U115" s="38"/>
      <x:c r="V115" s="38"/>
    </x:row>
    <x:row r="116" ht="23" customHeight="1">
      <x:c r="A116" s="106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108"/>
      <x:c r="R116" s="33"/>
      <x:c r="S116" s="33"/>
      <x:c r="T116" s="33"/>
      <x:c r="U116" s="33"/>
      <x:c r="V116" s="33"/>
    </x:row>
    <x:row r="117" ht="23" customHeight="1">
      <x:c r="A117" s="92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94"/>
      <x:c r="R117" s="38"/>
      <x:c r="S117" s="38"/>
      <x:c r="T117" s="38"/>
      <x:c r="U117" s="38"/>
      <x:c r="V117" s="38"/>
    </x:row>
    <x:row r="118" ht="23" customHeight="1">
      <x:c r="A118" s="106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108"/>
      <x:c r="R118" s="33"/>
      <x:c r="S118" s="33"/>
      <x:c r="T118" s="33"/>
      <x:c r="U118" s="33"/>
      <x:c r="V118" s="33"/>
    </x:row>
    <x:row r="119" ht="23" customHeight="1">
      <x:c r="A119" s="92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94"/>
      <x:c r="R119" s="38"/>
      <x:c r="S119" s="38"/>
      <x:c r="T119" s="38"/>
      <x:c r="U119" s="38"/>
      <x:c r="V119" s="38"/>
    </x:row>
    <x:row r="120" ht="23" customHeight="1">
      <x:c r="A120" s="106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108"/>
      <x:c r="R120" s="33"/>
      <x:c r="S120" s="33"/>
      <x:c r="T120" s="33"/>
      <x:c r="U120" s="33"/>
      <x:c r="V120" s="33"/>
    </x:row>
    <x:row r="121" ht="23" customHeight="1">
      <x:c r="A121" s="92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94"/>
      <x:c r="R121" s="38"/>
      <x:c r="S121" s="38"/>
      <x:c r="T121" s="38"/>
      <x:c r="U121" s="38"/>
      <x:c r="V121" s="38"/>
    </x:row>
    <x:row r="122" ht="23" customHeight="1">
      <x:c r="A122" s="106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108"/>
      <x:c r="R122" s="33"/>
      <x:c r="S122" s="33"/>
      <x:c r="T122" s="33"/>
      <x:c r="U122" s="33"/>
      <x:c r="V122" s="33"/>
    </x:row>
    <x:row r="123" ht="23" customHeight="1">
      <x:c r="A123" s="92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94"/>
      <x:c r="R123" s="38"/>
      <x:c r="S123" s="38"/>
      <x:c r="T123" s="38"/>
      <x:c r="U123" s="38"/>
      <x:c r="V123" s="38"/>
    </x:row>
    <x:row r="124" ht="23" customHeight="1">
      <x:c r="A124" s="106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108"/>
      <x:c r="R124" s="33"/>
      <x:c r="S124" s="33"/>
      <x:c r="T124" s="33"/>
      <x:c r="U124" s="33"/>
      <x:c r="V124" s="33"/>
    </x:row>
    <x:row r="125" ht="23" customHeight="1">
      <x:c r="A125" s="92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94"/>
      <x:c r="R125" s="38"/>
      <x:c r="S125" s="38"/>
      <x:c r="T125" s="38"/>
      <x:c r="U125" s="38"/>
      <x:c r="V125" s="38"/>
    </x:row>
    <x:row r="126" ht="23" customHeight="1">
      <x:c r="A126" s="106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108"/>
      <x:c r="R126" s="33"/>
      <x:c r="S126" s="33"/>
      <x:c r="T126" s="33"/>
      <x:c r="U126" s="33"/>
      <x:c r="V126" s="33"/>
    </x:row>
    <x:row r="127" ht="23" customHeight="1">
      <x:c r="A127" s="92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94"/>
      <x:c r="R127" s="38"/>
      <x:c r="S127" s="38"/>
      <x:c r="T127" s="38"/>
      <x:c r="U127" s="38"/>
      <x:c r="V127" s="38"/>
    </x:row>
    <x:row r="128" ht="23" customHeight="1">
      <x:c r="A128" s="106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108"/>
      <x:c r="R128" s="33"/>
      <x:c r="S128" s="33"/>
      <x:c r="T128" s="33"/>
      <x:c r="U128" s="33"/>
      <x:c r="V128" s="33"/>
    </x:row>
    <x:row r="129" ht="23" customHeight="1">
      <x:c r="A129" s="92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94"/>
      <x:c r="R129" s="38"/>
      <x:c r="S129" s="38"/>
      <x:c r="T129" s="38"/>
      <x:c r="U129" s="38"/>
      <x:c r="V129" s="38"/>
    </x:row>
    <x:row r="130" ht="23" customHeight="1">
      <x:c r="A130" s="106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108"/>
      <x:c r="R130" s="33"/>
      <x:c r="S130" s="33"/>
      <x:c r="T130" s="33"/>
      <x:c r="U130" s="33"/>
      <x:c r="V130" s="33"/>
    </x:row>
    <x:row r="131" ht="23" customHeight="1">
      <x:c r="A131" s="92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94"/>
      <x:c r="R131" s="38"/>
      <x:c r="S131" s="38"/>
      <x:c r="T131" s="38"/>
      <x:c r="U131" s="38"/>
      <x:c r="V131" s="38"/>
    </x:row>
    <x:row r="132" ht="23" customHeight="1">
      <x:c r="A132" s="106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108"/>
      <x:c r="R132" s="33"/>
      <x:c r="S132" s="33"/>
      <x:c r="T132" s="33"/>
      <x:c r="U132" s="33"/>
      <x:c r="V132" s="33"/>
    </x:row>
    <x:row r="133" ht="23" customHeight="1">
      <x:c r="A133" s="92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94"/>
      <x:c r="R133" s="38"/>
      <x:c r="S133" s="38"/>
      <x:c r="T133" s="38"/>
      <x:c r="U133" s="38"/>
      <x:c r="V133" s="38"/>
    </x:row>
    <x:row r="134" ht="23" customHeight="1">
      <x:c r="A134" s="106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108"/>
      <x:c r="R134" s="33"/>
      <x:c r="S134" s="33"/>
      <x:c r="T134" s="33"/>
      <x:c r="U134" s="33"/>
      <x:c r="V134" s="33"/>
    </x:row>
    <x:row r="135" ht="23" customHeight="1">
      <x:c r="A135" s="92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94"/>
      <x:c r="R135" s="38"/>
      <x:c r="S135" s="38"/>
      <x:c r="T135" s="38"/>
      <x:c r="U135" s="38"/>
      <x:c r="V135" s="38"/>
    </x:row>
    <x:row r="136" ht="23" customHeight="1">
      <x:c r="A136" s="106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108"/>
      <x:c r="R136" s="33"/>
      <x:c r="S136" s="33"/>
      <x:c r="T136" s="33"/>
      <x:c r="U136" s="33"/>
      <x:c r="V136" s="33"/>
    </x:row>
    <x:row r="137" ht="23" customHeight="1">
      <x:c r="A137" s="92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94"/>
      <x:c r="R137" s="38"/>
      <x:c r="S137" s="38"/>
      <x:c r="T137" s="38"/>
      <x:c r="U137" s="38"/>
      <x:c r="V137" s="38"/>
    </x:row>
    <x:row r="138" ht="23" customHeight="1">
      <x:c r="A138" s="106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108"/>
      <x:c r="R138" s="33"/>
      <x:c r="S138" s="33"/>
      <x:c r="T138" s="33"/>
      <x:c r="U138" s="33"/>
      <x:c r="V138" s="33"/>
    </x:row>
    <x:row r="139" ht="23" customHeight="1">
      <x:c r="A139" s="92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94"/>
      <x:c r="R139" s="38"/>
      <x:c r="S139" s="38"/>
      <x:c r="T139" s="38"/>
      <x:c r="U139" s="38"/>
      <x:c r="V139" s="38"/>
    </x:row>
    <x:row r="140" ht="23" customHeight="1">
      <x:c r="A140" s="106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108"/>
      <x:c r="R140" s="33"/>
      <x:c r="S140" s="33"/>
      <x:c r="T140" s="33"/>
      <x:c r="U140" s="33"/>
      <x:c r="V140" s="33"/>
    </x:row>
    <x:row r="141" ht="23" customHeight="1">
      <x:c r="A141" s="92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94"/>
      <x:c r="R141" s="38"/>
      <x:c r="S141" s="38"/>
      <x:c r="T141" s="38"/>
      <x:c r="U141" s="38"/>
      <x:c r="V141" s="38"/>
    </x:row>
    <x:row r="142" ht="23" customHeight="1">
      <x:c r="A142" s="106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108"/>
      <x:c r="R142" s="33"/>
      <x:c r="S142" s="33"/>
      <x:c r="T142" s="33"/>
      <x:c r="U142" s="33"/>
      <x:c r="V142" s="33"/>
    </x:row>
    <x:row r="143" ht="23" customHeight="1">
      <x:c r="A143" s="92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94"/>
      <x:c r="R143" s="38"/>
      <x:c r="S143" s="38"/>
      <x:c r="T143" s="38"/>
      <x:c r="U143" s="38"/>
      <x:c r="V143" s="38"/>
    </x:row>
    <x:row r="144" ht="23" customHeight="1">
      <x:c r="A144" s="106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108"/>
      <x:c r="R144" s="33"/>
      <x:c r="S144" s="33"/>
      <x:c r="T144" s="33"/>
      <x:c r="U144" s="33"/>
      <x:c r="V144" s="33"/>
    </x:row>
    <x:row r="145" ht="23" customHeight="1">
      <x:c r="A145" s="92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94"/>
      <x:c r="R145" s="38"/>
      <x:c r="S145" s="38"/>
      <x:c r="T145" s="38"/>
      <x:c r="U145" s="38"/>
      <x:c r="V145" s="38"/>
    </x:row>
    <x:row r="146" ht="23" customHeight="1">
      <x:c r="A146" s="106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108"/>
      <x:c r="R146" s="33"/>
      <x:c r="S146" s="33"/>
      <x:c r="T146" s="33"/>
      <x:c r="U146" s="33"/>
      <x:c r="V146" s="33"/>
    </x:row>
    <x:row r="147" ht="23" customHeight="1">
      <x:c r="A147" s="92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94"/>
      <x:c r="R147" s="38"/>
      <x:c r="S147" s="38"/>
      <x:c r="T147" s="38"/>
      <x:c r="U147" s="38"/>
      <x:c r="V147" s="38"/>
    </x:row>
    <x:row r="148" ht="23" customHeight="1">
      <x:c r="A148" s="106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108"/>
      <x:c r="R148" s="33"/>
      <x:c r="S148" s="33"/>
      <x:c r="T148" s="33"/>
      <x:c r="U148" s="33"/>
      <x:c r="V148" s="33"/>
    </x:row>
    <x:row r="149" ht="23" customHeight="1">
      <x:c r="A149" s="92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94"/>
      <x:c r="R149" s="38"/>
      <x:c r="S149" s="38"/>
      <x:c r="T149" s="38"/>
      <x:c r="U149" s="38"/>
      <x:c r="V149" s="38"/>
    </x:row>
    <x:row r="150" ht="23" customHeight="1">
      <x:c r="A150" s="106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108"/>
      <x:c r="R150" s="33"/>
      <x:c r="S150" s="33"/>
      <x:c r="T150" s="33"/>
      <x:c r="U150" s="33"/>
      <x:c r="V150" s="33"/>
    </x:row>
    <x:row r="151" ht="23" customHeight="1">
      <x:c r="A151" s="92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94"/>
      <x:c r="R151" s="38"/>
      <x:c r="S151" s="38"/>
      <x:c r="T151" s="38"/>
      <x:c r="U151" s="38"/>
      <x:c r="V151" s="38"/>
    </x:row>
    <x:row r="152" ht="23" customHeight="1">
      <x:c r="A152" s="106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108"/>
      <x:c r="R152" s="33"/>
      <x:c r="S152" s="33"/>
      <x:c r="T152" s="33"/>
      <x:c r="U152" s="33"/>
      <x:c r="V152" s="33"/>
    </x:row>
    <x:row r="153" ht="23" customHeight="1">
      <x:c r="A153" s="92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94"/>
      <x:c r="R153" s="38"/>
      <x:c r="S153" s="38"/>
      <x:c r="T153" s="38"/>
      <x:c r="U153" s="38"/>
      <x:c r="V153" s="38"/>
    </x:row>
    <x:row r="154" ht="23" customHeight="1">
      <x:c r="A154" s="106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108"/>
      <x:c r="R154" s="33"/>
      <x:c r="S154" s="33"/>
      <x:c r="T154" s="33"/>
      <x:c r="U154" s="33"/>
      <x:c r="V154" s="33"/>
    </x:row>
    <x:row r="155" ht="23" customHeight="1">
      <x:c r="A155" s="92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94"/>
      <x:c r="R155" s="38"/>
      <x:c r="S155" s="38"/>
      <x:c r="T155" s="38"/>
      <x:c r="U155" s="38"/>
      <x:c r="V155" s="38"/>
    </x:row>
    <x:row r="156" ht="23" customHeight="1">
      <x:c r="A156" s="106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108"/>
      <x:c r="R156" s="33"/>
      <x:c r="S156" s="33"/>
      <x:c r="T156" s="33"/>
      <x:c r="U156" s="33"/>
      <x:c r="V156" s="33"/>
    </x:row>
    <x:row r="157" ht="23" customHeight="1">
      <x:c r="A157" s="92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94"/>
      <x:c r="R157" s="38"/>
      <x:c r="S157" s="38"/>
      <x:c r="T157" s="38"/>
      <x:c r="U157" s="38"/>
      <x:c r="V157" s="38"/>
    </x:row>
    <x:row r="158" ht="23" customHeight="1">
      <x:c r="A158" s="106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108"/>
      <x:c r="R158" s="33"/>
      <x:c r="S158" s="33"/>
      <x:c r="T158" s="33"/>
      <x:c r="U158" s="33"/>
      <x:c r="V158" s="33"/>
    </x:row>
    <x:row r="159" ht="23" customHeight="1">
      <x:c r="A159" s="92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94"/>
      <x:c r="R159" s="38"/>
      <x:c r="S159" s="38"/>
      <x:c r="T159" s="38"/>
      <x:c r="U159" s="38"/>
      <x:c r="V159" s="38"/>
    </x:row>
    <x:row r="160" ht="23" customHeight="1">
      <x:c r="A160" s="106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108"/>
      <x:c r="R160" s="33"/>
      <x:c r="S160" s="33"/>
      <x:c r="T160" s="33"/>
      <x:c r="U160" s="33"/>
      <x:c r="V160" s="33"/>
    </x:row>
    <x:row r="161" ht="23" customHeight="1">
      <x:c r="A161" s="92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94"/>
      <x:c r="R161" s="38"/>
      <x:c r="S161" s="38"/>
      <x:c r="T161" s="38"/>
      <x:c r="U161" s="38"/>
      <x:c r="V161" s="38"/>
    </x:row>
    <x:row r="162" ht="23" customHeight="1">
      <x:c r="A162" s="106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108"/>
      <x:c r="R162" s="33"/>
      <x:c r="S162" s="33"/>
      <x:c r="T162" s="33"/>
      <x:c r="U162" s="33"/>
      <x:c r="V162" s="33"/>
    </x:row>
    <x:row r="163" ht="23" customHeight="1">
      <x:c r="A163" s="92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94"/>
      <x:c r="R163" s="38"/>
      <x:c r="S163" s="38"/>
      <x:c r="T163" s="38"/>
      <x:c r="U163" s="38"/>
      <x:c r="V163" s="38"/>
    </x:row>
    <x:row r="164" ht="23" customHeight="1">
      <x:c r="A164" s="106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108"/>
      <x:c r="R164" s="33"/>
      <x:c r="S164" s="33"/>
      <x:c r="T164" s="33"/>
      <x:c r="U164" s="33"/>
      <x:c r="V164" s="33"/>
    </x:row>
    <x:row r="165" ht="23" customHeight="1">
      <x:c r="A165" s="92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94"/>
      <x:c r="R165" s="38"/>
      <x:c r="S165" s="38"/>
      <x:c r="T165" s="38"/>
      <x:c r="U165" s="38"/>
      <x:c r="V165" s="38"/>
    </x:row>
    <x:row r="166" ht="23" customHeight="1">
      <x:c r="A166" s="106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108"/>
      <x:c r="R166" s="33"/>
      <x:c r="S166" s="33"/>
      <x:c r="T166" s="33"/>
      <x:c r="U166" s="33"/>
      <x:c r="V166" s="33"/>
    </x:row>
    <x:row r="167" ht="23" customHeight="1">
      <x:c r="A167" s="92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94"/>
      <x:c r="R167" s="38"/>
      <x:c r="S167" s="38"/>
      <x:c r="T167" s="38"/>
      <x:c r="U167" s="38"/>
      <x:c r="V167" s="38"/>
    </x:row>
    <x:row r="168" ht="23" customHeight="1">
      <x:c r="A168" s="106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108"/>
      <x:c r="R168" s="33"/>
      <x:c r="S168" s="33"/>
      <x:c r="T168" s="33"/>
      <x:c r="U168" s="33"/>
      <x:c r="V168" s="33"/>
    </x:row>
    <x:row r="169" ht="23" customHeight="1">
      <x:c r="A169" s="92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94"/>
      <x:c r="R169" s="38"/>
      <x:c r="S169" s="38"/>
      <x:c r="T169" s="38"/>
      <x:c r="U169" s="38"/>
      <x:c r="V169" s="38"/>
    </x:row>
    <x:row r="170" ht="23" customHeight="1">
      <x:c r="A170" s="106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108"/>
      <x:c r="R170" s="33"/>
      <x:c r="S170" s="33"/>
      <x:c r="T170" s="33"/>
      <x:c r="U170" s="33"/>
      <x:c r="V170" s="33"/>
    </x:row>
    <x:row r="171" ht="23" customHeight="1">
      <x:c r="A171" s="92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94"/>
      <x:c r="R171" s="38"/>
      <x:c r="S171" s="38"/>
      <x:c r="T171" s="38"/>
      <x:c r="U171" s="38"/>
      <x:c r="V171" s="38"/>
    </x:row>
    <x:row r="172" ht="23" customHeight="1">
      <x:c r="A172" s="106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108"/>
      <x:c r="R172" s="33"/>
      <x:c r="S172" s="33"/>
      <x:c r="T172" s="33"/>
      <x:c r="U172" s="33"/>
      <x:c r="V172" s="33"/>
    </x:row>
    <x:row r="173" ht="23" customHeight="1">
      <x:c r="A173" s="92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94"/>
      <x:c r="R173" s="38"/>
      <x:c r="S173" s="38"/>
      <x:c r="T173" s="38"/>
      <x:c r="U173" s="38"/>
      <x:c r="V173" s="38"/>
    </x:row>
    <x:row r="174" ht="23" customHeight="1">
      <x:c r="A174" s="106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108"/>
      <x:c r="R174" s="33"/>
      <x:c r="S174" s="33"/>
      <x:c r="T174" s="33"/>
      <x:c r="U174" s="33"/>
      <x:c r="V174" s="33"/>
    </x:row>
    <x:row r="175" ht="23" customHeight="1">
      <x:c r="A175" s="92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94"/>
      <x:c r="R175" s="38"/>
      <x:c r="S175" s="38"/>
      <x:c r="T175" s="38"/>
      <x:c r="U175" s="38"/>
      <x:c r="V175" s="38"/>
    </x:row>
    <x:row r="176" ht="23" customHeight="1">
      <x:c r="A176" s="106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108"/>
      <x:c r="R176" s="33"/>
      <x:c r="S176" s="33"/>
      <x:c r="T176" s="33"/>
      <x:c r="U176" s="33"/>
      <x:c r="V176" s="33"/>
    </x:row>
    <x:row r="177" ht="23" customHeight="1">
      <x:c r="A177" s="92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94"/>
      <x:c r="R177" s="38"/>
      <x:c r="S177" s="38"/>
      <x:c r="T177" s="38"/>
      <x:c r="U177" s="38"/>
      <x:c r="V177" s="38"/>
    </x:row>
    <x:row r="178" ht="23" customHeight="1">
      <x:c r="A178" s="106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108"/>
      <x:c r="R178" s="33"/>
      <x:c r="S178" s="33"/>
      <x:c r="T178" s="33"/>
      <x:c r="U178" s="33"/>
      <x:c r="V178" s="33"/>
    </x:row>
    <x:row r="179" ht="23" customHeight="1">
      <x:c r="A179" s="92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94"/>
      <x:c r="R179" s="38"/>
      <x:c r="S179" s="38"/>
      <x:c r="T179" s="38"/>
      <x:c r="U179" s="38"/>
      <x:c r="V179" s="38"/>
    </x:row>
    <x:row r="180" ht="23" customHeight="1">
      <x:c r="A180" s="106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108"/>
      <x:c r="R180" s="33"/>
      <x:c r="S180" s="33"/>
      <x:c r="T180" s="33"/>
      <x:c r="U180" s="33"/>
      <x:c r="V180" s="33"/>
    </x:row>
    <x:row r="181" ht="23" customHeight="1">
      <x:c r="A181" s="92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94"/>
      <x:c r="R181" s="38"/>
      <x:c r="S181" s="38"/>
      <x:c r="T181" s="38"/>
      <x:c r="U181" s="38"/>
      <x:c r="V181" s="38"/>
    </x:row>
    <x:row r="182" ht="23" customHeight="1">
      <x:c r="A182" s="106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108"/>
      <x:c r="R182" s="33"/>
      <x:c r="S182" s="33"/>
      <x:c r="T182" s="33"/>
      <x:c r="U182" s="33"/>
      <x:c r="V182" s="33"/>
    </x:row>
    <x:row r="183" ht="23" customHeight="1">
      <x:c r="A183" s="92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94"/>
      <x:c r="R183" s="38"/>
      <x:c r="S183" s="38"/>
      <x:c r="T183" s="38"/>
      <x:c r="U183" s="38"/>
      <x:c r="V183" s="38"/>
    </x:row>
    <x:row r="184" ht="23" customHeight="1">
      <x:c r="A184" s="106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108"/>
      <x:c r="R184" s="33"/>
      <x:c r="S184" s="33"/>
      <x:c r="T184" s="33"/>
      <x:c r="U184" s="33"/>
      <x:c r="V184" s="33"/>
    </x:row>
    <x:row r="185" ht="23" customHeight="1">
      <x:c r="A185" s="92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94"/>
      <x:c r="R185" s="38"/>
      <x:c r="S185" s="38"/>
      <x:c r="T185" s="38"/>
      <x:c r="U185" s="38"/>
      <x:c r="V185" s="38"/>
    </x:row>
    <x:row r="186" ht="23" customHeight="1">
      <x:c r="A186" s="106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108"/>
      <x:c r="R186" s="33"/>
      <x:c r="S186" s="33"/>
      <x:c r="T186" s="33"/>
      <x:c r="U186" s="33"/>
      <x:c r="V186" s="33"/>
    </x:row>
    <x:row r="187" ht="23" customHeight="1">
      <x:c r="A187" s="92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94"/>
      <x:c r="R187" s="38"/>
      <x:c r="S187" s="38"/>
      <x:c r="T187" s="38"/>
      <x:c r="U187" s="38"/>
      <x:c r="V187" s="38"/>
    </x:row>
    <x:row r="188" ht="23" customHeight="1">
      <x:c r="A188" s="106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108"/>
      <x:c r="R188" s="33"/>
      <x:c r="S188" s="33"/>
      <x:c r="T188" s="33"/>
      <x:c r="U188" s="33"/>
      <x:c r="V188" s="33"/>
    </x:row>
    <x:row r="189" ht="23" customHeight="1">
      <x:c r="A189" s="92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94"/>
      <x:c r="R189" s="38"/>
      <x:c r="S189" s="38"/>
      <x:c r="T189" s="38"/>
      <x:c r="U189" s="38"/>
      <x:c r="V189" s="38"/>
    </x:row>
    <x:row r="190" ht="23" customHeight="1">
      <x:c r="A190" s="106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108"/>
      <x:c r="R190" s="33"/>
      <x:c r="S190" s="33"/>
      <x:c r="T190" s="33"/>
      <x:c r="U190" s="33"/>
      <x:c r="V190" s="33"/>
    </x:row>
    <x:row r="191" ht="23" customHeight="1">
      <x:c r="A191" s="92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94"/>
      <x:c r="R191" s="38"/>
      <x:c r="S191" s="38"/>
      <x:c r="T191" s="38"/>
      <x:c r="U191" s="38"/>
      <x:c r="V191" s="38"/>
    </x:row>
    <x:row r="192" ht="23" customHeight="1">
      <x:c r="A192" s="106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108"/>
      <x:c r="R192" s="33"/>
      <x:c r="S192" s="33"/>
      <x:c r="T192" s="33"/>
      <x:c r="U192" s="33"/>
      <x:c r="V192" s="33"/>
    </x:row>
    <x:row r="193" ht="23" customHeight="1">
      <x:c r="A193" s="92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94"/>
      <x:c r="R193" s="38"/>
      <x:c r="S193" s="38"/>
      <x:c r="T193" s="38"/>
      <x:c r="U193" s="38"/>
      <x:c r="V193" s="38"/>
    </x:row>
    <x:row r="194" ht="23" customHeight="1">
      <x:c r="A194" s="106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108"/>
      <x:c r="R194" s="33"/>
      <x:c r="S194" s="33"/>
      <x:c r="T194" s="33"/>
      <x:c r="U194" s="33"/>
      <x:c r="V194" s="33"/>
    </x:row>
    <x:row r="195" ht="23" customHeight="1">
      <x:c r="A195" s="92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94"/>
      <x:c r="R195" s="38"/>
      <x:c r="S195" s="38"/>
      <x:c r="T195" s="38"/>
      <x:c r="U195" s="38"/>
      <x:c r="V195" s="38"/>
    </x:row>
    <x:row r="196" ht="23" customHeight="1">
      <x:c r="A196" s="106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108"/>
      <x:c r="R196" s="33"/>
      <x:c r="S196" s="33"/>
      <x:c r="T196" s="33"/>
      <x:c r="U196" s="33"/>
      <x:c r="V196" s="33"/>
    </x:row>
    <x:row r="197" ht="23" customHeight="1">
      <x:c r="A197" s="92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94"/>
      <x:c r="R197" s="38"/>
      <x:c r="S197" s="38"/>
      <x:c r="T197" s="38"/>
      <x:c r="U197" s="38"/>
      <x:c r="V197" s="38"/>
    </x:row>
    <x:row r="198" ht="23" customHeight="1">
      <x:c r="A198" s="106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108"/>
      <x:c r="R198" s="33"/>
      <x:c r="S198" s="33"/>
      <x:c r="T198" s="33"/>
      <x:c r="U198" s="33"/>
      <x:c r="V198" s="33"/>
    </x:row>
    <x:row r="199" ht="23" customHeight="1">
      <x:c r="A199" s="92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94"/>
      <x:c r="R199" s="38"/>
      <x:c r="S199" s="38"/>
      <x:c r="T199" s="38"/>
      <x:c r="U199" s="38"/>
      <x:c r="V199" s="38"/>
    </x:row>
    <x:row r="200" ht="23" customHeight="1">
      <x:c r="A200" s="106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108"/>
      <x:c r="R200" s="33"/>
      <x:c r="S200" s="33"/>
      <x:c r="T200" s="33"/>
      <x:c r="U200" s="33"/>
      <x:c r="V200" s="33"/>
    </x:row>
    <x:row r="201" ht="23" customHeight="1">
      <x:c r="A201" s="92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94"/>
      <x:c r="R201" s="38"/>
      <x:c r="S201" s="38"/>
      <x:c r="T201" s="38"/>
      <x:c r="U201" s="38"/>
      <x:c r="V201" s="38"/>
    </x:row>
    <x:row r="202" ht="23" customHeight="1">
      <x:c r="A202" s="106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108"/>
      <x:c r="R202" s="33"/>
      <x:c r="S202" s="33"/>
      <x:c r="T202" s="33"/>
      <x:c r="U202" s="33"/>
      <x:c r="V202" s="33"/>
    </x:row>
    <x:row r="203" ht="23" customHeight="1">
      <x:c r="A203" s="92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94"/>
      <x:c r="R203" s="38"/>
      <x:c r="S203" s="38"/>
      <x:c r="T203" s="38"/>
      <x:c r="U203" s="38"/>
      <x:c r="V203" s="38"/>
    </x:row>
    <x:row r="204" ht="23" customHeight="1">
      <x:c r="A204" s="106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108"/>
      <x:c r="R204" s="33"/>
      <x:c r="S204" s="33"/>
      <x:c r="T204" s="33"/>
      <x:c r="U204" s="33"/>
      <x:c r="V204" s="33"/>
    </x:row>
    <x:row r="205" ht="23" customHeight="1">
      <x:c r="A205" s="92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94"/>
      <x:c r="R205" s="38"/>
      <x:c r="S205" s="38"/>
      <x:c r="T205" s="38"/>
      <x:c r="U205" s="38"/>
      <x:c r="V205" s="38"/>
    </x:row>
    <x:row r="206" ht="23" customHeight="1">
      <x:c r="A206" s="106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108"/>
      <x:c r="R206" s="33"/>
      <x:c r="S206" s="33"/>
      <x:c r="T206" s="33"/>
      <x:c r="U206" s="33"/>
      <x:c r="V206" s="33"/>
    </x:row>
    <x:row r="207" ht="23" customHeight="1">
      <x:c r="A207" s="92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94"/>
      <x:c r="R207" s="38"/>
      <x:c r="S207" s="38"/>
      <x:c r="T207" s="38"/>
      <x:c r="U207" s="38"/>
      <x:c r="V207" s="38"/>
    </x:row>
    <x:row r="208" ht="23" customHeight="1">
      <x:c r="A208" s="106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108"/>
      <x:c r="R208" s="33"/>
      <x:c r="S208" s="33"/>
      <x:c r="T208" s="33"/>
      <x:c r="U208" s="33"/>
      <x:c r="V208" s="33"/>
    </x:row>
  </x:sheetData>
  <x:mergeCells>
    <x:mergeCell ref="A1:V2"/>
    <x:mergeCell ref="A4:C4"/>
    <x:mergeCell ref="A5:C6"/>
    <x:mergeCell ref="D4:F4"/>
    <x:mergeCell ref="D5:F6"/>
    <x:mergeCell ref="G4:I4"/>
    <x:mergeCell ref="G5:I6"/>
    <x:mergeCell ref="J4:L4"/>
    <x:mergeCell ref="J5:L6"/>
    <x:mergeCell ref="M4:O4"/>
    <x:mergeCell ref="M5:O6"/>
  </x:mergeCells>
  <x:conditionalFormatting sqref="R9:R208">
    <x:cfRule type="expression" dxfId="7" priority="1">
      <x:formula>R9="PROSES BAŞLATILABİLİR"</x:formula>
    </x:cfRule>
    <x:cfRule type="expression" dxfId="8" priority="2">
      <x:formula>R9="EKSİKLERİ TAMAMLA"</x:formula>
    </x:cfRule>
    <x:cfRule type="expression" dxfId="9" priority="3">
      <x:formula>R9="BAŞLATMA"</x:formula>
    </x:cfRule>
  </x:conditionalFormatting>
  <x:dataValidations count="4">
    <x:dataValidation type="list" sqref="H9:H208">
      <x:formula1>Listeler!$G$2:$G$6</x:formula1>
    </x:dataValidation>
    <x:dataValidation type="list" sqref="I9:I208">
      <x:formula1>Listeler!$F$2:$F$11</x:formula1>
    </x:dataValidation>
    <x:dataValidation type="list" sqref="R9:R208">
      <x:formula1>Listeler!$B$2:$B$5</x:formula1>
    </x:dataValidation>
    <x:dataValidation type="list" sqref="S9:S208">
      <x:formula1>Listeler!$I$2:$I$5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066cd3c0694e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2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30" hidden="0" customWidth="1"/>
  </x:cols>
  <x:sheetData>
    <x:row r="1">
      <x:c r="A1" s="42" t="str">
        <x:v>BOYAMA BAŞLANGIÇ KONTROL • HAFTALIK ÖZET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50" t="str">
        <x:v>Kontrol kayıtlarından haftalık başlatma kararı, risk seviyesi ve proses türü görünümünü özetler.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</x:row>
    <x:row r="5">
      <x:c r="A5" s="13" t="str">
        <x:v>Hafta Başlangıcı</x:v>
      </x:c>
      <x:c r="B5" s="14" t="str">
        <x:v>Hafta Bitişi</x:v>
      </x:c>
      <x:c r="C5" s="14" t="str">
        <x:v>Toplam Kontrol</x:v>
      </x:c>
      <x:c r="D5" s="14" t="str">
        <x:v>Başlatılabilir</x:v>
      </x:c>
      <x:c r="E5" s="14" t="str">
        <x:v>Eksikleri Tamamla</x:v>
      </x:c>
      <x:c r="F5" s="14" t="str">
        <x:v>Başlatma</x:v>
      </x:c>
      <x:c r="G5" s="14" t="str">
        <x:v>Ortalama Tamamlanma</x:v>
      </x:c>
      <x:c r="H5" s="14" t="str">
        <x:v>Düşük Risk</x:v>
      </x:c>
      <x:c r="I5" s="14" t="str">
        <x:v>Orta Risk</x:v>
      </x:c>
      <x:c r="J5" s="14" t="str">
        <x:v>Yüksek Risk</x:v>
      </x:c>
      <x:c r="K5" s="14" t="str">
        <x:v>Kritik Risk</x:v>
      </x:c>
      <x:c r="L5" s="15" t="str">
        <x:v>Not</x:v>
      </x:c>
    </x:row>
    <x:row r="6">
      <x:c r="A6" s="92"/>
      <x:c r="B6" s="92" t="str">
        <x:f>IF(A6="","",A6+6)</x:f>
      </x:c>
      <x:c r="C6" s="38" t="str">
        <x:f>IF(A6="","",COUNTIFS('Kontrol Kayıtları'!$A$9:$A$208,"&gt;="&amp;A6,'Kontrol Kayıtları'!$A$9:$A$208,"&lt;="&amp;B6))</x:f>
      </x:c>
      <x:c r="D6" s="38" t="str">
        <x:f>IF(A6="","",COUNTIFS('Kontrol Kayıtları'!$A$9:$A$208,"&gt;="&amp;A6,'Kontrol Kayıtları'!$A$9:$A$208,"&lt;="&amp;B6,'Kontrol Kayıtları'!$R$9:$R$208,"PROSES BAŞLATILABİLİR"))</x:f>
      </x:c>
      <x:c r="E6" s="38" t="str">
        <x:f>IF(A6="","",COUNTIFS('Kontrol Kayıtları'!$A$9:$A$208,"&gt;="&amp;A6,'Kontrol Kayıtları'!$A$9:$A$208,"&lt;="&amp;B6,'Kontrol Kayıtları'!$R$9:$R$208,"EKSİKLERİ TAMAMLA"))</x:f>
      </x:c>
      <x:c r="F6" s="38" t="str">
        <x:f>IF(A6="","",COUNTIFS('Kontrol Kayıtları'!$A$9:$A$208,"&gt;="&amp;A6,'Kontrol Kayıtları'!$A$9:$A$208,"&lt;="&amp;B6,'Kontrol Kayıtları'!$R$9:$R$208,"BAŞLATMA"))</x:f>
      </x:c>
      <x:c r="G6" s="94" t="n">
        <x:f>IFERROR(SUMIFS('Kontrol Kayıtları'!$Q$9:$Q$208,'Kontrol Kayıtları'!$A$9:$A$208,"&gt;="&amp;A6,'Kontrol Kayıtları'!$A$9:$A$208,"&lt;="&amp;B6)/C6,0)</x:f>
        <x:v>0</x:v>
      </x:c>
      <x:c r="H6" s="38" t="str">
        <x:f>IF(A6="","",COUNTIFS('Kontrol Kayıtları'!$A$9:$A$208,"&gt;="&amp;A6,'Kontrol Kayıtları'!$A$9:$A$208,"&lt;="&amp;B6,'Kontrol Kayıtları'!$S$9:$S$208,"Düşük"))</x:f>
      </x:c>
      <x:c r="I6" s="38" t="str">
        <x:f>IF(A6="","",COUNTIFS('Kontrol Kayıtları'!$A$9:$A$208,"&gt;="&amp;A6,'Kontrol Kayıtları'!$A$9:$A$208,"&lt;="&amp;B6,'Kontrol Kayıtları'!$S$9:$S$208,"Orta"))</x:f>
      </x:c>
      <x:c r="J6" s="38" t="str">
        <x:f>IF(A6="","",COUNTIFS('Kontrol Kayıtları'!$A$9:$A$208,"&gt;="&amp;A6,'Kontrol Kayıtları'!$A$9:$A$208,"&lt;="&amp;B6,'Kontrol Kayıtları'!$S$9:$S$208,"Yüksek"))</x:f>
      </x:c>
      <x:c r="K6" s="38" t="str">
        <x:f>IF(A6="","",COUNTIFS('Kontrol Kayıtları'!$A$9:$A$208,"&gt;="&amp;A6,'Kontrol Kayıtları'!$A$9:$A$208,"&lt;="&amp;B6,'Kontrol Kayıtları'!$S$9:$S$208,"Kritik"))</x:f>
      </x:c>
      <x:c r="L6" s="38"/>
    </x:row>
    <x:row r="7">
      <x:c r="A7" s="106"/>
      <x:c r="B7" s="106" t="str">
        <x:f>IF(A7="","",A7+6)</x:f>
      </x:c>
      <x:c r="C7" s="33" t="str">
        <x:f>IF(A7="","",COUNTIFS('Kontrol Kayıtları'!$A$9:$A$208,"&gt;="&amp;A7,'Kontrol Kayıtları'!$A$9:$A$208,"&lt;="&amp;B7))</x:f>
      </x:c>
      <x:c r="D7" s="33" t="str">
        <x:f>IF(A7="","",COUNTIFS('Kontrol Kayıtları'!$A$9:$A$208,"&gt;="&amp;A7,'Kontrol Kayıtları'!$A$9:$A$208,"&lt;="&amp;B7,'Kontrol Kayıtları'!$R$9:$R$208,"PROSES BAŞLATILABİLİR"))</x:f>
      </x:c>
      <x:c r="E7" s="33" t="str">
        <x:f>IF(A7="","",COUNTIFS('Kontrol Kayıtları'!$A$9:$A$208,"&gt;="&amp;A7,'Kontrol Kayıtları'!$A$9:$A$208,"&lt;="&amp;B7,'Kontrol Kayıtları'!$R$9:$R$208,"EKSİKLERİ TAMAMLA"))</x:f>
      </x:c>
      <x:c r="F7" s="33" t="str">
        <x:f>IF(A7="","",COUNTIFS('Kontrol Kayıtları'!$A$9:$A$208,"&gt;="&amp;A7,'Kontrol Kayıtları'!$A$9:$A$208,"&lt;="&amp;B7,'Kontrol Kayıtları'!$R$9:$R$208,"BAŞLATMA"))</x:f>
      </x:c>
      <x:c r="G7" s="108" t="n">
        <x:f>IFERROR(SUMIFS('Kontrol Kayıtları'!$Q$9:$Q$208,'Kontrol Kayıtları'!$A$9:$A$208,"&gt;="&amp;A7,'Kontrol Kayıtları'!$A$9:$A$208,"&lt;="&amp;B7)/C7,0)</x:f>
        <x:v>0</x:v>
      </x:c>
      <x:c r="H7" s="33" t="str">
        <x:f>IF(A7="","",COUNTIFS('Kontrol Kayıtları'!$A$9:$A$208,"&gt;="&amp;A7,'Kontrol Kayıtları'!$A$9:$A$208,"&lt;="&amp;B7,'Kontrol Kayıtları'!$S$9:$S$208,"Düşük"))</x:f>
      </x:c>
      <x:c r="I7" s="33" t="str">
        <x:f>IF(A7="","",COUNTIFS('Kontrol Kayıtları'!$A$9:$A$208,"&gt;="&amp;A7,'Kontrol Kayıtları'!$A$9:$A$208,"&lt;="&amp;B7,'Kontrol Kayıtları'!$S$9:$S$208,"Orta"))</x:f>
      </x:c>
      <x:c r="J7" s="33" t="str">
        <x:f>IF(A7="","",COUNTIFS('Kontrol Kayıtları'!$A$9:$A$208,"&gt;="&amp;A7,'Kontrol Kayıtları'!$A$9:$A$208,"&lt;="&amp;B7,'Kontrol Kayıtları'!$S$9:$S$208,"Yüksek"))</x:f>
      </x:c>
      <x:c r="K7" s="33" t="str">
        <x:f>IF(A7="","",COUNTIFS('Kontrol Kayıtları'!$A$9:$A$208,"&gt;="&amp;A7,'Kontrol Kayıtları'!$A$9:$A$208,"&lt;="&amp;B7,'Kontrol Kayıtları'!$S$9:$S$208,"Kritik"))</x:f>
      </x:c>
      <x:c r="L7" s="33"/>
    </x:row>
    <x:row r="8">
      <x:c r="A8" s="92"/>
      <x:c r="B8" s="92" t="str">
        <x:f>IF(A8="","",A8+6)</x:f>
      </x:c>
      <x:c r="C8" s="38" t="str">
        <x:f>IF(A8="","",COUNTIFS('Kontrol Kayıtları'!$A$9:$A$208,"&gt;="&amp;A8,'Kontrol Kayıtları'!$A$9:$A$208,"&lt;="&amp;B8))</x:f>
      </x:c>
      <x:c r="D8" s="38" t="str">
        <x:f>IF(A8="","",COUNTIFS('Kontrol Kayıtları'!$A$9:$A$208,"&gt;="&amp;A8,'Kontrol Kayıtları'!$A$9:$A$208,"&lt;="&amp;B8,'Kontrol Kayıtları'!$R$9:$R$208,"PROSES BAŞLATILABİLİR"))</x:f>
      </x:c>
      <x:c r="E8" s="38" t="str">
        <x:f>IF(A8="","",COUNTIFS('Kontrol Kayıtları'!$A$9:$A$208,"&gt;="&amp;A8,'Kontrol Kayıtları'!$A$9:$A$208,"&lt;="&amp;B8,'Kontrol Kayıtları'!$R$9:$R$208,"EKSİKLERİ TAMAMLA"))</x:f>
      </x:c>
      <x:c r="F8" s="38" t="str">
        <x:f>IF(A8="","",COUNTIFS('Kontrol Kayıtları'!$A$9:$A$208,"&gt;="&amp;A8,'Kontrol Kayıtları'!$A$9:$A$208,"&lt;="&amp;B8,'Kontrol Kayıtları'!$R$9:$R$208,"BAŞLATMA"))</x:f>
      </x:c>
      <x:c r="G8" s="94" t="n">
        <x:f>IFERROR(SUMIFS('Kontrol Kayıtları'!$Q$9:$Q$208,'Kontrol Kayıtları'!$A$9:$A$208,"&gt;="&amp;A8,'Kontrol Kayıtları'!$A$9:$A$208,"&lt;="&amp;B8)/C8,0)</x:f>
        <x:v>0</x:v>
      </x:c>
      <x:c r="H8" s="38" t="str">
        <x:f>IF(A8="","",COUNTIFS('Kontrol Kayıtları'!$A$9:$A$208,"&gt;="&amp;A8,'Kontrol Kayıtları'!$A$9:$A$208,"&lt;="&amp;B8,'Kontrol Kayıtları'!$S$9:$S$208,"Düşük"))</x:f>
      </x:c>
      <x:c r="I8" s="38" t="str">
        <x:f>IF(A8="","",COUNTIFS('Kontrol Kayıtları'!$A$9:$A$208,"&gt;="&amp;A8,'Kontrol Kayıtları'!$A$9:$A$208,"&lt;="&amp;B8,'Kontrol Kayıtları'!$S$9:$S$208,"Orta"))</x:f>
      </x:c>
      <x:c r="J8" s="38" t="str">
        <x:f>IF(A8="","",COUNTIFS('Kontrol Kayıtları'!$A$9:$A$208,"&gt;="&amp;A8,'Kontrol Kayıtları'!$A$9:$A$208,"&lt;="&amp;B8,'Kontrol Kayıtları'!$S$9:$S$208,"Yüksek"))</x:f>
      </x:c>
      <x:c r="K8" s="38" t="str">
        <x:f>IF(A8="","",COUNTIFS('Kontrol Kayıtları'!$A$9:$A$208,"&gt;="&amp;A8,'Kontrol Kayıtları'!$A$9:$A$208,"&lt;="&amp;B8,'Kontrol Kayıtları'!$S$9:$S$208,"Kritik"))</x:f>
      </x:c>
      <x:c r="L8" s="38"/>
    </x:row>
    <x:row r="9">
      <x:c r="A9" s="106"/>
      <x:c r="B9" s="106" t="str">
        <x:f>IF(A9="","",A9+6)</x:f>
      </x:c>
      <x:c r="C9" s="33" t="str">
        <x:f>IF(A9="","",COUNTIFS('Kontrol Kayıtları'!$A$9:$A$208,"&gt;="&amp;A9,'Kontrol Kayıtları'!$A$9:$A$208,"&lt;="&amp;B9))</x:f>
      </x:c>
      <x:c r="D9" s="33" t="str">
        <x:f>IF(A9="","",COUNTIFS('Kontrol Kayıtları'!$A$9:$A$208,"&gt;="&amp;A9,'Kontrol Kayıtları'!$A$9:$A$208,"&lt;="&amp;B9,'Kontrol Kayıtları'!$R$9:$R$208,"PROSES BAŞLATILABİLİR"))</x:f>
      </x:c>
      <x:c r="E9" s="33" t="str">
        <x:f>IF(A9="","",COUNTIFS('Kontrol Kayıtları'!$A$9:$A$208,"&gt;="&amp;A9,'Kontrol Kayıtları'!$A$9:$A$208,"&lt;="&amp;B9,'Kontrol Kayıtları'!$R$9:$R$208,"EKSİKLERİ TAMAMLA"))</x:f>
      </x:c>
      <x:c r="F9" s="33" t="str">
        <x:f>IF(A9="","",COUNTIFS('Kontrol Kayıtları'!$A$9:$A$208,"&gt;="&amp;A9,'Kontrol Kayıtları'!$A$9:$A$208,"&lt;="&amp;B9,'Kontrol Kayıtları'!$R$9:$R$208,"BAŞLATMA"))</x:f>
      </x:c>
      <x:c r="G9" s="108" t="n">
        <x:f>IFERROR(SUMIFS('Kontrol Kayıtları'!$Q$9:$Q$208,'Kontrol Kayıtları'!$A$9:$A$208,"&gt;="&amp;A9,'Kontrol Kayıtları'!$A$9:$A$208,"&lt;="&amp;B9)/C9,0)</x:f>
        <x:v>0</x:v>
      </x:c>
      <x:c r="H9" s="33" t="str">
        <x:f>IF(A9="","",COUNTIFS('Kontrol Kayıtları'!$A$9:$A$208,"&gt;="&amp;A9,'Kontrol Kayıtları'!$A$9:$A$208,"&lt;="&amp;B9,'Kontrol Kayıtları'!$S$9:$S$208,"Düşük"))</x:f>
      </x:c>
      <x:c r="I9" s="33" t="str">
        <x:f>IF(A9="","",COUNTIFS('Kontrol Kayıtları'!$A$9:$A$208,"&gt;="&amp;A9,'Kontrol Kayıtları'!$A$9:$A$208,"&lt;="&amp;B9,'Kontrol Kayıtları'!$S$9:$S$208,"Orta"))</x:f>
      </x:c>
      <x:c r="J9" s="33" t="str">
        <x:f>IF(A9="","",COUNTIFS('Kontrol Kayıtları'!$A$9:$A$208,"&gt;="&amp;A9,'Kontrol Kayıtları'!$A$9:$A$208,"&lt;="&amp;B9,'Kontrol Kayıtları'!$S$9:$S$208,"Yüksek"))</x:f>
      </x:c>
      <x:c r="K9" s="33" t="str">
        <x:f>IF(A9="","",COUNTIFS('Kontrol Kayıtları'!$A$9:$A$208,"&gt;="&amp;A9,'Kontrol Kayıtları'!$A$9:$A$208,"&lt;="&amp;B9,'Kontrol Kayıtları'!$S$9:$S$208,"Kritik"))</x:f>
      </x:c>
      <x:c r="L9" s="33"/>
    </x:row>
    <x:row r="10">
      <x:c r="A10" s="92"/>
      <x:c r="B10" s="92" t="str">
        <x:f>IF(A10="","",A10+6)</x:f>
      </x:c>
      <x:c r="C10" s="38" t="str">
        <x:f>IF(A10="","",COUNTIFS('Kontrol Kayıtları'!$A$9:$A$208,"&gt;="&amp;A10,'Kontrol Kayıtları'!$A$9:$A$208,"&lt;="&amp;B10))</x:f>
      </x:c>
      <x:c r="D10" s="38" t="str">
        <x:f>IF(A10="","",COUNTIFS('Kontrol Kayıtları'!$A$9:$A$208,"&gt;="&amp;A10,'Kontrol Kayıtları'!$A$9:$A$208,"&lt;="&amp;B10,'Kontrol Kayıtları'!$R$9:$R$208,"PROSES BAŞLATILABİLİR"))</x:f>
      </x:c>
      <x:c r="E10" s="38" t="str">
        <x:f>IF(A10="","",COUNTIFS('Kontrol Kayıtları'!$A$9:$A$208,"&gt;="&amp;A10,'Kontrol Kayıtları'!$A$9:$A$208,"&lt;="&amp;B10,'Kontrol Kayıtları'!$R$9:$R$208,"EKSİKLERİ TAMAMLA"))</x:f>
      </x:c>
      <x:c r="F10" s="38" t="str">
        <x:f>IF(A10="","",COUNTIFS('Kontrol Kayıtları'!$A$9:$A$208,"&gt;="&amp;A10,'Kontrol Kayıtları'!$A$9:$A$208,"&lt;="&amp;B10,'Kontrol Kayıtları'!$R$9:$R$208,"BAŞLATMA"))</x:f>
      </x:c>
      <x:c r="G10" s="94" t="n">
        <x:f>IFERROR(SUMIFS('Kontrol Kayıtları'!$Q$9:$Q$208,'Kontrol Kayıtları'!$A$9:$A$208,"&gt;="&amp;A10,'Kontrol Kayıtları'!$A$9:$A$208,"&lt;="&amp;B10)/C10,0)</x:f>
        <x:v>0</x:v>
      </x:c>
      <x:c r="H10" s="38" t="str">
        <x:f>IF(A10="","",COUNTIFS('Kontrol Kayıtları'!$A$9:$A$208,"&gt;="&amp;A10,'Kontrol Kayıtları'!$A$9:$A$208,"&lt;="&amp;B10,'Kontrol Kayıtları'!$S$9:$S$208,"Düşük"))</x:f>
      </x:c>
      <x:c r="I10" s="38" t="str">
        <x:f>IF(A10="","",COUNTIFS('Kontrol Kayıtları'!$A$9:$A$208,"&gt;="&amp;A10,'Kontrol Kayıtları'!$A$9:$A$208,"&lt;="&amp;B10,'Kontrol Kayıtları'!$S$9:$S$208,"Orta"))</x:f>
      </x:c>
      <x:c r="J10" s="38" t="str">
        <x:f>IF(A10="","",COUNTIFS('Kontrol Kayıtları'!$A$9:$A$208,"&gt;="&amp;A10,'Kontrol Kayıtları'!$A$9:$A$208,"&lt;="&amp;B10,'Kontrol Kayıtları'!$S$9:$S$208,"Yüksek"))</x:f>
      </x:c>
      <x:c r="K10" s="38" t="str">
        <x:f>IF(A10="","",COUNTIFS('Kontrol Kayıtları'!$A$9:$A$208,"&gt;="&amp;A10,'Kontrol Kayıtları'!$A$9:$A$208,"&lt;="&amp;B10,'Kontrol Kayıtları'!$S$9:$S$208,"Kritik"))</x:f>
      </x:c>
      <x:c r="L10" s="38"/>
    </x:row>
    <x:row r="11">
      <x:c r="A11" s="106"/>
      <x:c r="B11" s="106" t="str">
        <x:f>IF(A11="","",A11+6)</x:f>
      </x:c>
      <x:c r="C11" s="33" t="str">
        <x:f>IF(A11="","",COUNTIFS('Kontrol Kayıtları'!$A$9:$A$208,"&gt;="&amp;A11,'Kontrol Kayıtları'!$A$9:$A$208,"&lt;="&amp;B11))</x:f>
      </x:c>
      <x:c r="D11" s="33" t="str">
        <x:f>IF(A11="","",COUNTIFS('Kontrol Kayıtları'!$A$9:$A$208,"&gt;="&amp;A11,'Kontrol Kayıtları'!$A$9:$A$208,"&lt;="&amp;B11,'Kontrol Kayıtları'!$R$9:$R$208,"PROSES BAŞLATILABİLİR"))</x:f>
      </x:c>
      <x:c r="E11" s="33" t="str">
        <x:f>IF(A11="","",COUNTIFS('Kontrol Kayıtları'!$A$9:$A$208,"&gt;="&amp;A11,'Kontrol Kayıtları'!$A$9:$A$208,"&lt;="&amp;B11,'Kontrol Kayıtları'!$R$9:$R$208,"EKSİKLERİ TAMAMLA"))</x:f>
      </x:c>
      <x:c r="F11" s="33" t="str">
        <x:f>IF(A11="","",COUNTIFS('Kontrol Kayıtları'!$A$9:$A$208,"&gt;="&amp;A11,'Kontrol Kayıtları'!$A$9:$A$208,"&lt;="&amp;B11,'Kontrol Kayıtları'!$R$9:$R$208,"BAŞLATMA"))</x:f>
      </x:c>
      <x:c r="G11" s="108" t="n">
        <x:f>IFERROR(SUMIFS('Kontrol Kayıtları'!$Q$9:$Q$208,'Kontrol Kayıtları'!$A$9:$A$208,"&gt;="&amp;A11,'Kontrol Kayıtları'!$A$9:$A$208,"&lt;="&amp;B11)/C11,0)</x:f>
        <x:v>0</x:v>
      </x:c>
      <x:c r="H11" s="33" t="str">
        <x:f>IF(A11="","",COUNTIFS('Kontrol Kayıtları'!$A$9:$A$208,"&gt;="&amp;A11,'Kontrol Kayıtları'!$A$9:$A$208,"&lt;="&amp;B11,'Kontrol Kayıtları'!$S$9:$S$208,"Düşük"))</x:f>
      </x:c>
      <x:c r="I11" s="33" t="str">
        <x:f>IF(A11="","",COUNTIFS('Kontrol Kayıtları'!$A$9:$A$208,"&gt;="&amp;A11,'Kontrol Kayıtları'!$A$9:$A$208,"&lt;="&amp;B11,'Kontrol Kayıtları'!$S$9:$S$208,"Orta"))</x:f>
      </x:c>
      <x:c r="J11" s="33" t="str">
        <x:f>IF(A11="","",COUNTIFS('Kontrol Kayıtları'!$A$9:$A$208,"&gt;="&amp;A11,'Kontrol Kayıtları'!$A$9:$A$208,"&lt;="&amp;B11,'Kontrol Kayıtları'!$S$9:$S$208,"Yüksek"))</x:f>
      </x:c>
      <x:c r="K11" s="33" t="str">
        <x:f>IF(A11="","",COUNTIFS('Kontrol Kayıtları'!$A$9:$A$208,"&gt;="&amp;A11,'Kontrol Kayıtları'!$A$9:$A$208,"&lt;="&amp;B11,'Kontrol Kayıtları'!$S$9:$S$208,"Kritik"))</x:f>
      </x:c>
      <x:c r="L11" s="33"/>
    </x:row>
    <x:row r="12">
      <x:c r="A12" s="92"/>
      <x:c r="B12" s="92" t="str">
        <x:f>IF(A12="","",A12+6)</x:f>
      </x:c>
      <x:c r="C12" s="38" t="str">
        <x:f>IF(A12="","",COUNTIFS('Kontrol Kayıtları'!$A$9:$A$208,"&gt;="&amp;A12,'Kontrol Kayıtları'!$A$9:$A$208,"&lt;="&amp;B12))</x:f>
      </x:c>
      <x:c r="D12" s="38" t="str">
        <x:f>IF(A12="","",COUNTIFS('Kontrol Kayıtları'!$A$9:$A$208,"&gt;="&amp;A12,'Kontrol Kayıtları'!$A$9:$A$208,"&lt;="&amp;B12,'Kontrol Kayıtları'!$R$9:$R$208,"PROSES BAŞLATILABİLİR"))</x:f>
      </x:c>
      <x:c r="E12" s="38" t="str">
        <x:f>IF(A12="","",COUNTIFS('Kontrol Kayıtları'!$A$9:$A$208,"&gt;="&amp;A12,'Kontrol Kayıtları'!$A$9:$A$208,"&lt;="&amp;B12,'Kontrol Kayıtları'!$R$9:$R$208,"EKSİKLERİ TAMAMLA"))</x:f>
      </x:c>
      <x:c r="F12" s="38" t="str">
        <x:f>IF(A12="","",COUNTIFS('Kontrol Kayıtları'!$A$9:$A$208,"&gt;="&amp;A12,'Kontrol Kayıtları'!$A$9:$A$208,"&lt;="&amp;B12,'Kontrol Kayıtları'!$R$9:$R$208,"BAŞLATMA"))</x:f>
      </x:c>
      <x:c r="G12" s="94" t="n">
        <x:f>IFERROR(SUMIFS('Kontrol Kayıtları'!$Q$9:$Q$208,'Kontrol Kayıtları'!$A$9:$A$208,"&gt;="&amp;A12,'Kontrol Kayıtları'!$A$9:$A$208,"&lt;="&amp;B12)/C12,0)</x:f>
        <x:v>0</x:v>
      </x:c>
      <x:c r="H12" s="38" t="str">
        <x:f>IF(A12="","",COUNTIFS('Kontrol Kayıtları'!$A$9:$A$208,"&gt;="&amp;A12,'Kontrol Kayıtları'!$A$9:$A$208,"&lt;="&amp;B12,'Kontrol Kayıtları'!$S$9:$S$208,"Düşük"))</x:f>
      </x:c>
      <x:c r="I12" s="38" t="str">
        <x:f>IF(A12="","",COUNTIFS('Kontrol Kayıtları'!$A$9:$A$208,"&gt;="&amp;A12,'Kontrol Kayıtları'!$A$9:$A$208,"&lt;="&amp;B12,'Kontrol Kayıtları'!$S$9:$S$208,"Orta"))</x:f>
      </x:c>
      <x:c r="J12" s="38" t="str">
        <x:f>IF(A12="","",COUNTIFS('Kontrol Kayıtları'!$A$9:$A$208,"&gt;="&amp;A12,'Kontrol Kayıtları'!$A$9:$A$208,"&lt;="&amp;B12,'Kontrol Kayıtları'!$S$9:$S$208,"Yüksek"))</x:f>
      </x:c>
      <x:c r="K12" s="38" t="str">
        <x:f>IF(A12="","",COUNTIFS('Kontrol Kayıtları'!$A$9:$A$208,"&gt;="&amp;A12,'Kontrol Kayıtları'!$A$9:$A$208,"&lt;="&amp;B12,'Kontrol Kayıtları'!$S$9:$S$208,"Kritik"))</x:f>
      </x:c>
      <x:c r="L12" s="38"/>
    </x:row>
    <x:row r="13">
      <x:c r="A13" s="106"/>
      <x:c r="B13" s="106" t="str">
        <x:f>IF(A13="","",A13+6)</x:f>
      </x:c>
      <x:c r="C13" s="33" t="str">
        <x:f>IF(A13="","",COUNTIFS('Kontrol Kayıtları'!$A$9:$A$208,"&gt;="&amp;A13,'Kontrol Kayıtları'!$A$9:$A$208,"&lt;="&amp;B13))</x:f>
      </x:c>
      <x:c r="D13" s="33" t="str">
        <x:f>IF(A13="","",COUNTIFS('Kontrol Kayıtları'!$A$9:$A$208,"&gt;="&amp;A13,'Kontrol Kayıtları'!$A$9:$A$208,"&lt;="&amp;B13,'Kontrol Kayıtları'!$R$9:$R$208,"PROSES BAŞLATILABİLİR"))</x:f>
      </x:c>
      <x:c r="E13" s="33" t="str">
        <x:f>IF(A13="","",COUNTIFS('Kontrol Kayıtları'!$A$9:$A$208,"&gt;="&amp;A13,'Kontrol Kayıtları'!$A$9:$A$208,"&lt;="&amp;B13,'Kontrol Kayıtları'!$R$9:$R$208,"EKSİKLERİ TAMAMLA"))</x:f>
      </x:c>
      <x:c r="F13" s="33" t="str">
        <x:f>IF(A13="","",COUNTIFS('Kontrol Kayıtları'!$A$9:$A$208,"&gt;="&amp;A13,'Kontrol Kayıtları'!$A$9:$A$208,"&lt;="&amp;B13,'Kontrol Kayıtları'!$R$9:$R$208,"BAŞLATMA"))</x:f>
      </x:c>
      <x:c r="G13" s="108" t="n">
        <x:f>IFERROR(SUMIFS('Kontrol Kayıtları'!$Q$9:$Q$208,'Kontrol Kayıtları'!$A$9:$A$208,"&gt;="&amp;A13,'Kontrol Kayıtları'!$A$9:$A$208,"&lt;="&amp;B13)/C13,0)</x:f>
        <x:v>0</x:v>
      </x:c>
      <x:c r="H13" s="33" t="str">
        <x:f>IF(A13="","",COUNTIFS('Kontrol Kayıtları'!$A$9:$A$208,"&gt;="&amp;A13,'Kontrol Kayıtları'!$A$9:$A$208,"&lt;="&amp;B13,'Kontrol Kayıtları'!$S$9:$S$208,"Düşük"))</x:f>
      </x:c>
      <x:c r="I13" s="33" t="str">
        <x:f>IF(A13="","",COUNTIFS('Kontrol Kayıtları'!$A$9:$A$208,"&gt;="&amp;A13,'Kontrol Kayıtları'!$A$9:$A$208,"&lt;="&amp;B13,'Kontrol Kayıtları'!$S$9:$S$208,"Orta"))</x:f>
      </x:c>
      <x:c r="J13" s="33" t="str">
        <x:f>IF(A13="","",COUNTIFS('Kontrol Kayıtları'!$A$9:$A$208,"&gt;="&amp;A13,'Kontrol Kayıtları'!$A$9:$A$208,"&lt;="&amp;B13,'Kontrol Kayıtları'!$S$9:$S$208,"Yüksek"))</x:f>
      </x:c>
      <x:c r="K13" s="33" t="str">
        <x:f>IF(A13="","",COUNTIFS('Kontrol Kayıtları'!$A$9:$A$208,"&gt;="&amp;A13,'Kontrol Kayıtları'!$A$9:$A$208,"&lt;="&amp;B13,'Kontrol Kayıtları'!$S$9:$S$208,"Kritik"))</x:f>
      </x:c>
      <x:c r="L13" s="33"/>
    </x:row>
    <x:row r="14">
      <x:c r="A14" s="92"/>
      <x:c r="B14" s="92" t="str">
        <x:f>IF(A14="","",A14+6)</x:f>
      </x:c>
      <x:c r="C14" s="38" t="str">
        <x:f>IF(A14="","",COUNTIFS('Kontrol Kayıtları'!$A$9:$A$208,"&gt;="&amp;A14,'Kontrol Kayıtları'!$A$9:$A$208,"&lt;="&amp;B14))</x:f>
      </x:c>
      <x:c r="D14" s="38" t="str">
        <x:f>IF(A14="","",COUNTIFS('Kontrol Kayıtları'!$A$9:$A$208,"&gt;="&amp;A14,'Kontrol Kayıtları'!$A$9:$A$208,"&lt;="&amp;B14,'Kontrol Kayıtları'!$R$9:$R$208,"PROSES BAŞLATILABİLİR"))</x:f>
      </x:c>
      <x:c r="E14" s="38" t="str">
        <x:f>IF(A14="","",COUNTIFS('Kontrol Kayıtları'!$A$9:$A$208,"&gt;="&amp;A14,'Kontrol Kayıtları'!$A$9:$A$208,"&lt;="&amp;B14,'Kontrol Kayıtları'!$R$9:$R$208,"EKSİKLERİ TAMAMLA"))</x:f>
      </x:c>
      <x:c r="F14" s="38" t="str">
        <x:f>IF(A14="","",COUNTIFS('Kontrol Kayıtları'!$A$9:$A$208,"&gt;="&amp;A14,'Kontrol Kayıtları'!$A$9:$A$208,"&lt;="&amp;B14,'Kontrol Kayıtları'!$R$9:$R$208,"BAŞLATMA"))</x:f>
      </x:c>
      <x:c r="G14" s="94" t="n">
        <x:f>IFERROR(SUMIFS('Kontrol Kayıtları'!$Q$9:$Q$208,'Kontrol Kayıtları'!$A$9:$A$208,"&gt;="&amp;A14,'Kontrol Kayıtları'!$A$9:$A$208,"&lt;="&amp;B14)/C14,0)</x:f>
        <x:v>0</x:v>
      </x:c>
      <x:c r="H14" s="38" t="str">
        <x:f>IF(A14="","",COUNTIFS('Kontrol Kayıtları'!$A$9:$A$208,"&gt;="&amp;A14,'Kontrol Kayıtları'!$A$9:$A$208,"&lt;="&amp;B14,'Kontrol Kayıtları'!$S$9:$S$208,"Düşük"))</x:f>
      </x:c>
      <x:c r="I14" s="38" t="str">
        <x:f>IF(A14="","",COUNTIFS('Kontrol Kayıtları'!$A$9:$A$208,"&gt;="&amp;A14,'Kontrol Kayıtları'!$A$9:$A$208,"&lt;="&amp;B14,'Kontrol Kayıtları'!$S$9:$S$208,"Orta"))</x:f>
      </x:c>
      <x:c r="J14" s="38" t="str">
        <x:f>IF(A14="","",COUNTIFS('Kontrol Kayıtları'!$A$9:$A$208,"&gt;="&amp;A14,'Kontrol Kayıtları'!$A$9:$A$208,"&lt;="&amp;B14,'Kontrol Kayıtları'!$S$9:$S$208,"Yüksek"))</x:f>
      </x:c>
      <x:c r="K14" s="38" t="str">
        <x:f>IF(A14="","",COUNTIFS('Kontrol Kayıtları'!$A$9:$A$208,"&gt;="&amp;A14,'Kontrol Kayıtları'!$A$9:$A$208,"&lt;="&amp;B14,'Kontrol Kayıtları'!$S$9:$S$208,"Kritik"))</x:f>
      </x:c>
      <x:c r="L14" s="38"/>
    </x:row>
    <x:row r="15">
      <x:c r="A15" s="106"/>
      <x:c r="B15" s="106" t="str">
        <x:f>IF(A15="","",A15+6)</x:f>
      </x:c>
      <x:c r="C15" s="33" t="str">
        <x:f>IF(A15="","",COUNTIFS('Kontrol Kayıtları'!$A$9:$A$208,"&gt;="&amp;A15,'Kontrol Kayıtları'!$A$9:$A$208,"&lt;="&amp;B15))</x:f>
      </x:c>
      <x:c r="D15" s="33" t="str">
        <x:f>IF(A15="","",COUNTIFS('Kontrol Kayıtları'!$A$9:$A$208,"&gt;="&amp;A15,'Kontrol Kayıtları'!$A$9:$A$208,"&lt;="&amp;B15,'Kontrol Kayıtları'!$R$9:$R$208,"PROSES BAŞLATILABİLİR"))</x:f>
      </x:c>
      <x:c r="E15" s="33" t="str">
        <x:f>IF(A15="","",COUNTIFS('Kontrol Kayıtları'!$A$9:$A$208,"&gt;="&amp;A15,'Kontrol Kayıtları'!$A$9:$A$208,"&lt;="&amp;B15,'Kontrol Kayıtları'!$R$9:$R$208,"EKSİKLERİ TAMAMLA"))</x:f>
      </x:c>
      <x:c r="F15" s="33" t="str">
        <x:f>IF(A15="","",COUNTIFS('Kontrol Kayıtları'!$A$9:$A$208,"&gt;="&amp;A15,'Kontrol Kayıtları'!$A$9:$A$208,"&lt;="&amp;B15,'Kontrol Kayıtları'!$R$9:$R$208,"BAŞLATMA"))</x:f>
      </x:c>
      <x:c r="G15" s="108" t="n">
        <x:f>IFERROR(SUMIFS('Kontrol Kayıtları'!$Q$9:$Q$208,'Kontrol Kayıtları'!$A$9:$A$208,"&gt;="&amp;A15,'Kontrol Kayıtları'!$A$9:$A$208,"&lt;="&amp;B15)/C15,0)</x:f>
        <x:v>0</x:v>
      </x:c>
      <x:c r="H15" s="33" t="str">
        <x:f>IF(A15="","",COUNTIFS('Kontrol Kayıtları'!$A$9:$A$208,"&gt;="&amp;A15,'Kontrol Kayıtları'!$A$9:$A$208,"&lt;="&amp;B15,'Kontrol Kayıtları'!$S$9:$S$208,"Düşük"))</x:f>
      </x:c>
      <x:c r="I15" s="33" t="str">
        <x:f>IF(A15="","",COUNTIFS('Kontrol Kayıtları'!$A$9:$A$208,"&gt;="&amp;A15,'Kontrol Kayıtları'!$A$9:$A$208,"&lt;="&amp;B15,'Kontrol Kayıtları'!$S$9:$S$208,"Orta"))</x:f>
      </x:c>
      <x:c r="J15" s="33" t="str">
        <x:f>IF(A15="","",COUNTIFS('Kontrol Kayıtları'!$A$9:$A$208,"&gt;="&amp;A15,'Kontrol Kayıtları'!$A$9:$A$208,"&lt;="&amp;B15,'Kontrol Kayıtları'!$S$9:$S$208,"Yüksek"))</x:f>
      </x:c>
      <x:c r="K15" s="33" t="str">
        <x:f>IF(A15="","",COUNTIFS('Kontrol Kayıtları'!$A$9:$A$208,"&gt;="&amp;A15,'Kontrol Kayıtları'!$A$9:$A$208,"&lt;="&amp;B15,'Kontrol Kayıtları'!$S$9:$S$208,"Kritik"))</x:f>
      </x:c>
      <x:c r="L15" s="33"/>
    </x:row>
    <x:row r="16">
      <x:c r="A16" s="92"/>
      <x:c r="B16" s="92" t="str">
        <x:f>IF(A16="","",A16+6)</x:f>
      </x:c>
      <x:c r="C16" s="38" t="str">
        <x:f>IF(A16="","",COUNTIFS('Kontrol Kayıtları'!$A$9:$A$208,"&gt;="&amp;A16,'Kontrol Kayıtları'!$A$9:$A$208,"&lt;="&amp;B16))</x:f>
      </x:c>
      <x:c r="D16" s="38" t="str">
        <x:f>IF(A16="","",COUNTIFS('Kontrol Kayıtları'!$A$9:$A$208,"&gt;="&amp;A16,'Kontrol Kayıtları'!$A$9:$A$208,"&lt;="&amp;B16,'Kontrol Kayıtları'!$R$9:$R$208,"PROSES BAŞLATILABİLİR"))</x:f>
      </x:c>
      <x:c r="E16" s="38" t="str">
        <x:f>IF(A16="","",COUNTIFS('Kontrol Kayıtları'!$A$9:$A$208,"&gt;="&amp;A16,'Kontrol Kayıtları'!$A$9:$A$208,"&lt;="&amp;B16,'Kontrol Kayıtları'!$R$9:$R$208,"EKSİKLERİ TAMAMLA"))</x:f>
      </x:c>
      <x:c r="F16" s="38" t="str">
        <x:f>IF(A16="","",COUNTIFS('Kontrol Kayıtları'!$A$9:$A$208,"&gt;="&amp;A16,'Kontrol Kayıtları'!$A$9:$A$208,"&lt;="&amp;B16,'Kontrol Kayıtları'!$R$9:$R$208,"BAŞLATMA"))</x:f>
      </x:c>
      <x:c r="G16" s="94" t="n">
        <x:f>IFERROR(SUMIFS('Kontrol Kayıtları'!$Q$9:$Q$208,'Kontrol Kayıtları'!$A$9:$A$208,"&gt;="&amp;A16,'Kontrol Kayıtları'!$A$9:$A$208,"&lt;="&amp;B16)/C16,0)</x:f>
        <x:v>0</x:v>
      </x:c>
      <x:c r="H16" s="38" t="str">
        <x:f>IF(A16="","",COUNTIFS('Kontrol Kayıtları'!$A$9:$A$208,"&gt;="&amp;A16,'Kontrol Kayıtları'!$A$9:$A$208,"&lt;="&amp;B16,'Kontrol Kayıtları'!$S$9:$S$208,"Düşük"))</x:f>
      </x:c>
      <x:c r="I16" s="38" t="str">
        <x:f>IF(A16="","",COUNTIFS('Kontrol Kayıtları'!$A$9:$A$208,"&gt;="&amp;A16,'Kontrol Kayıtları'!$A$9:$A$208,"&lt;="&amp;B16,'Kontrol Kayıtları'!$S$9:$S$208,"Orta"))</x:f>
      </x:c>
      <x:c r="J16" s="38" t="str">
        <x:f>IF(A16="","",COUNTIFS('Kontrol Kayıtları'!$A$9:$A$208,"&gt;="&amp;A16,'Kontrol Kayıtları'!$A$9:$A$208,"&lt;="&amp;B16,'Kontrol Kayıtları'!$S$9:$S$208,"Yüksek"))</x:f>
      </x:c>
      <x:c r="K16" s="38" t="str">
        <x:f>IF(A16="","",COUNTIFS('Kontrol Kayıtları'!$A$9:$A$208,"&gt;="&amp;A16,'Kontrol Kayıtları'!$A$9:$A$208,"&lt;="&amp;B16,'Kontrol Kayıtları'!$S$9:$S$208,"Kritik"))</x:f>
      </x:c>
      <x:c r="L16" s="38"/>
    </x:row>
    <x:row r="17">
      <x:c r="A17" s="106"/>
      <x:c r="B17" s="106" t="str">
        <x:f>IF(A17="","",A17+6)</x:f>
      </x:c>
      <x:c r="C17" s="33" t="str">
        <x:f>IF(A17="","",COUNTIFS('Kontrol Kayıtları'!$A$9:$A$208,"&gt;="&amp;A17,'Kontrol Kayıtları'!$A$9:$A$208,"&lt;="&amp;B17))</x:f>
      </x:c>
      <x:c r="D17" s="33" t="str">
        <x:f>IF(A17="","",COUNTIFS('Kontrol Kayıtları'!$A$9:$A$208,"&gt;="&amp;A17,'Kontrol Kayıtları'!$A$9:$A$208,"&lt;="&amp;B17,'Kontrol Kayıtları'!$R$9:$R$208,"PROSES BAŞLATILABİLİR"))</x:f>
      </x:c>
      <x:c r="E17" s="33" t="str">
        <x:f>IF(A17="","",COUNTIFS('Kontrol Kayıtları'!$A$9:$A$208,"&gt;="&amp;A17,'Kontrol Kayıtları'!$A$9:$A$208,"&lt;="&amp;B17,'Kontrol Kayıtları'!$R$9:$R$208,"EKSİKLERİ TAMAMLA"))</x:f>
      </x:c>
      <x:c r="F17" s="33" t="str">
        <x:f>IF(A17="","",COUNTIFS('Kontrol Kayıtları'!$A$9:$A$208,"&gt;="&amp;A17,'Kontrol Kayıtları'!$A$9:$A$208,"&lt;="&amp;B17,'Kontrol Kayıtları'!$R$9:$R$208,"BAŞLATMA"))</x:f>
      </x:c>
      <x:c r="G17" s="108" t="n">
        <x:f>IFERROR(SUMIFS('Kontrol Kayıtları'!$Q$9:$Q$208,'Kontrol Kayıtları'!$A$9:$A$208,"&gt;="&amp;A17,'Kontrol Kayıtları'!$A$9:$A$208,"&lt;="&amp;B17)/C17,0)</x:f>
        <x:v>0</x:v>
      </x:c>
      <x:c r="H17" s="33" t="str">
        <x:f>IF(A17="","",COUNTIFS('Kontrol Kayıtları'!$A$9:$A$208,"&gt;="&amp;A17,'Kontrol Kayıtları'!$A$9:$A$208,"&lt;="&amp;B17,'Kontrol Kayıtları'!$S$9:$S$208,"Düşük"))</x:f>
      </x:c>
      <x:c r="I17" s="33" t="str">
        <x:f>IF(A17="","",COUNTIFS('Kontrol Kayıtları'!$A$9:$A$208,"&gt;="&amp;A17,'Kontrol Kayıtları'!$A$9:$A$208,"&lt;="&amp;B17,'Kontrol Kayıtları'!$S$9:$S$208,"Orta"))</x:f>
      </x:c>
      <x:c r="J17" s="33" t="str">
        <x:f>IF(A17="","",COUNTIFS('Kontrol Kayıtları'!$A$9:$A$208,"&gt;="&amp;A17,'Kontrol Kayıtları'!$A$9:$A$208,"&lt;="&amp;B17,'Kontrol Kayıtları'!$S$9:$S$208,"Yüksek"))</x:f>
      </x:c>
      <x:c r="K17" s="33" t="str">
        <x:f>IF(A17="","",COUNTIFS('Kontrol Kayıtları'!$A$9:$A$208,"&gt;="&amp;A17,'Kontrol Kayıtları'!$A$9:$A$208,"&lt;="&amp;B17,'Kontrol Kayıtları'!$S$9:$S$208,"Kritik"))</x:f>
      </x:c>
      <x:c r="L17" s="33"/>
    </x:row>
    <x:row r="18">
      <x:c r="A18" s="92"/>
      <x:c r="B18" s="92" t="str">
        <x:f>IF(A18="","",A18+6)</x:f>
      </x:c>
      <x:c r="C18" s="38" t="str">
        <x:f>IF(A18="","",COUNTIFS('Kontrol Kayıtları'!$A$9:$A$208,"&gt;="&amp;A18,'Kontrol Kayıtları'!$A$9:$A$208,"&lt;="&amp;B18))</x:f>
      </x:c>
      <x:c r="D18" s="38" t="str">
        <x:f>IF(A18="","",COUNTIFS('Kontrol Kayıtları'!$A$9:$A$208,"&gt;="&amp;A18,'Kontrol Kayıtları'!$A$9:$A$208,"&lt;="&amp;B18,'Kontrol Kayıtları'!$R$9:$R$208,"PROSES BAŞLATILABİLİR"))</x:f>
      </x:c>
      <x:c r="E18" s="38" t="str">
        <x:f>IF(A18="","",COUNTIFS('Kontrol Kayıtları'!$A$9:$A$208,"&gt;="&amp;A18,'Kontrol Kayıtları'!$A$9:$A$208,"&lt;="&amp;B18,'Kontrol Kayıtları'!$R$9:$R$208,"EKSİKLERİ TAMAMLA"))</x:f>
      </x:c>
      <x:c r="F18" s="38" t="str">
        <x:f>IF(A18="","",COUNTIFS('Kontrol Kayıtları'!$A$9:$A$208,"&gt;="&amp;A18,'Kontrol Kayıtları'!$A$9:$A$208,"&lt;="&amp;B18,'Kontrol Kayıtları'!$R$9:$R$208,"BAŞLATMA"))</x:f>
      </x:c>
      <x:c r="G18" s="94" t="n">
        <x:f>IFERROR(SUMIFS('Kontrol Kayıtları'!$Q$9:$Q$208,'Kontrol Kayıtları'!$A$9:$A$208,"&gt;="&amp;A18,'Kontrol Kayıtları'!$A$9:$A$208,"&lt;="&amp;B18)/C18,0)</x:f>
        <x:v>0</x:v>
      </x:c>
      <x:c r="H18" s="38" t="str">
        <x:f>IF(A18="","",COUNTIFS('Kontrol Kayıtları'!$A$9:$A$208,"&gt;="&amp;A18,'Kontrol Kayıtları'!$A$9:$A$208,"&lt;="&amp;B18,'Kontrol Kayıtları'!$S$9:$S$208,"Düşük"))</x:f>
      </x:c>
      <x:c r="I18" s="38" t="str">
        <x:f>IF(A18="","",COUNTIFS('Kontrol Kayıtları'!$A$9:$A$208,"&gt;="&amp;A18,'Kontrol Kayıtları'!$A$9:$A$208,"&lt;="&amp;B18,'Kontrol Kayıtları'!$S$9:$S$208,"Orta"))</x:f>
      </x:c>
      <x:c r="J18" s="38" t="str">
        <x:f>IF(A18="","",COUNTIFS('Kontrol Kayıtları'!$A$9:$A$208,"&gt;="&amp;A18,'Kontrol Kayıtları'!$A$9:$A$208,"&lt;="&amp;B18,'Kontrol Kayıtları'!$S$9:$S$208,"Yüksek"))</x:f>
      </x:c>
      <x:c r="K18" s="38" t="str">
        <x:f>IF(A18="","",COUNTIFS('Kontrol Kayıtları'!$A$9:$A$208,"&gt;="&amp;A18,'Kontrol Kayıtları'!$A$9:$A$208,"&lt;="&amp;B18,'Kontrol Kayıtları'!$S$9:$S$208,"Kritik"))</x:f>
      </x:c>
      <x:c r="L18" s="38"/>
    </x:row>
    <x:row r="19">
      <x:c r="A19" s="106"/>
      <x:c r="B19" s="106" t="str">
        <x:f>IF(A19="","",A19+6)</x:f>
      </x:c>
      <x:c r="C19" s="33" t="str">
        <x:f>IF(A19="","",COUNTIFS('Kontrol Kayıtları'!$A$9:$A$208,"&gt;="&amp;A19,'Kontrol Kayıtları'!$A$9:$A$208,"&lt;="&amp;B19))</x:f>
      </x:c>
      <x:c r="D19" s="33" t="str">
        <x:f>IF(A19="","",COUNTIFS('Kontrol Kayıtları'!$A$9:$A$208,"&gt;="&amp;A19,'Kontrol Kayıtları'!$A$9:$A$208,"&lt;="&amp;B19,'Kontrol Kayıtları'!$R$9:$R$208,"PROSES BAŞLATILABİLİR"))</x:f>
      </x:c>
      <x:c r="E19" s="33" t="str">
        <x:f>IF(A19="","",COUNTIFS('Kontrol Kayıtları'!$A$9:$A$208,"&gt;="&amp;A19,'Kontrol Kayıtları'!$A$9:$A$208,"&lt;="&amp;B19,'Kontrol Kayıtları'!$R$9:$R$208,"EKSİKLERİ TAMAMLA"))</x:f>
      </x:c>
      <x:c r="F19" s="33" t="str">
        <x:f>IF(A19="","",COUNTIFS('Kontrol Kayıtları'!$A$9:$A$208,"&gt;="&amp;A19,'Kontrol Kayıtları'!$A$9:$A$208,"&lt;="&amp;B19,'Kontrol Kayıtları'!$R$9:$R$208,"BAŞLATMA"))</x:f>
      </x:c>
      <x:c r="G19" s="108" t="n">
        <x:f>IFERROR(SUMIFS('Kontrol Kayıtları'!$Q$9:$Q$208,'Kontrol Kayıtları'!$A$9:$A$208,"&gt;="&amp;A19,'Kontrol Kayıtları'!$A$9:$A$208,"&lt;="&amp;B19)/C19,0)</x:f>
        <x:v>0</x:v>
      </x:c>
      <x:c r="H19" s="33" t="str">
        <x:f>IF(A19="","",COUNTIFS('Kontrol Kayıtları'!$A$9:$A$208,"&gt;="&amp;A19,'Kontrol Kayıtları'!$A$9:$A$208,"&lt;="&amp;B19,'Kontrol Kayıtları'!$S$9:$S$208,"Düşük"))</x:f>
      </x:c>
      <x:c r="I19" s="33" t="str">
        <x:f>IF(A19="","",COUNTIFS('Kontrol Kayıtları'!$A$9:$A$208,"&gt;="&amp;A19,'Kontrol Kayıtları'!$A$9:$A$208,"&lt;="&amp;B19,'Kontrol Kayıtları'!$S$9:$S$208,"Orta"))</x:f>
      </x:c>
      <x:c r="J19" s="33" t="str">
        <x:f>IF(A19="","",COUNTIFS('Kontrol Kayıtları'!$A$9:$A$208,"&gt;="&amp;A19,'Kontrol Kayıtları'!$A$9:$A$208,"&lt;="&amp;B19,'Kontrol Kayıtları'!$S$9:$S$208,"Yüksek"))</x:f>
      </x:c>
      <x:c r="K19" s="33" t="str">
        <x:f>IF(A19="","",COUNTIFS('Kontrol Kayıtları'!$A$9:$A$208,"&gt;="&amp;A19,'Kontrol Kayıtları'!$A$9:$A$208,"&lt;="&amp;B19,'Kontrol Kayıtları'!$S$9:$S$208,"Kritik"))</x:f>
      </x:c>
      <x:c r="L19" s="33"/>
    </x:row>
    <x:row r="20">
      <x:c r="A20" s="92"/>
      <x:c r="B20" s="92" t="str">
        <x:f>IF(A20="","",A20+6)</x:f>
      </x:c>
      <x:c r="C20" s="38" t="str">
        <x:f>IF(A20="","",COUNTIFS('Kontrol Kayıtları'!$A$9:$A$208,"&gt;="&amp;A20,'Kontrol Kayıtları'!$A$9:$A$208,"&lt;="&amp;B20))</x:f>
      </x:c>
      <x:c r="D20" s="38" t="str">
        <x:f>IF(A20="","",COUNTIFS('Kontrol Kayıtları'!$A$9:$A$208,"&gt;="&amp;A20,'Kontrol Kayıtları'!$A$9:$A$208,"&lt;="&amp;B20,'Kontrol Kayıtları'!$R$9:$R$208,"PROSES BAŞLATILABİLİR"))</x:f>
      </x:c>
      <x:c r="E20" s="38" t="str">
        <x:f>IF(A20="","",COUNTIFS('Kontrol Kayıtları'!$A$9:$A$208,"&gt;="&amp;A20,'Kontrol Kayıtları'!$A$9:$A$208,"&lt;="&amp;B20,'Kontrol Kayıtları'!$R$9:$R$208,"EKSİKLERİ TAMAMLA"))</x:f>
      </x:c>
      <x:c r="F20" s="38" t="str">
        <x:f>IF(A20="","",COUNTIFS('Kontrol Kayıtları'!$A$9:$A$208,"&gt;="&amp;A20,'Kontrol Kayıtları'!$A$9:$A$208,"&lt;="&amp;B20,'Kontrol Kayıtları'!$R$9:$R$208,"BAŞLATMA"))</x:f>
      </x:c>
      <x:c r="G20" s="94" t="n">
        <x:f>IFERROR(SUMIFS('Kontrol Kayıtları'!$Q$9:$Q$208,'Kontrol Kayıtları'!$A$9:$A$208,"&gt;="&amp;A20,'Kontrol Kayıtları'!$A$9:$A$208,"&lt;="&amp;B20)/C20,0)</x:f>
        <x:v>0</x:v>
      </x:c>
      <x:c r="H20" s="38" t="str">
        <x:f>IF(A20="","",COUNTIFS('Kontrol Kayıtları'!$A$9:$A$208,"&gt;="&amp;A20,'Kontrol Kayıtları'!$A$9:$A$208,"&lt;="&amp;B20,'Kontrol Kayıtları'!$S$9:$S$208,"Düşük"))</x:f>
      </x:c>
      <x:c r="I20" s="38" t="str">
        <x:f>IF(A20="","",COUNTIFS('Kontrol Kayıtları'!$A$9:$A$208,"&gt;="&amp;A20,'Kontrol Kayıtları'!$A$9:$A$208,"&lt;="&amp;B20,'Kontrol Kayıtları'!$S$9:$S$208,"Orta"))</x:f>
      </x:c>
      <x:c r="J20" s="38" t="str">
        <x:f>IF(A20="","",COUNTIFS('Kontrol Kayıtları'!$A$9:$A$208,"&gt;="&amp;A20,'Kontrol Kayıtları'!$A$9:$A$208,"&lt;="&amp;B20,'Kontrol Kayıtları'!$S$9:$S$208,"Yüksek"))</x:f>
      </x:c>
      <x:c r="K20" s="38" t="str">
        <x:f>IF(A20="","",COUNTIFS('Kontrol Kayıtları'!$A$9:$A$208,"&gt;="&amp;A20,'Kontrol Kayıtları'!$A$9:$A$208,"&lt;="&amp;B20,'Kontrol Kayıtları'!$S$9:$S$208,"Kritik"))</x:f>
      </x:c>
      <x:c r="L20" s="38"/>
    </x:row>
    <x:row r="21">
      <x:c r="A21" s="106"/>
      <x:c r="B21" s="106" t="str">
        <x:f>IF(A21="","",A21+6)</x:f>
      </x:c>
      <x:c r="C21" s="33" t="str">
        <x:f>IF(A21="","",COUNTIFS('Kontrol Kayıtları'!$A$9:$A$208,"&gt;="&amp;A21,'Kontrol Kayıtları'!$A$9:$A$208,"&lt;="&amp;B21))</x:f>
      </x:c>
      <x:c r="D21" s="33" t="str">
        <x:f>IF(A21="","",COUNTIFS('Kontrol Kayıtları'!$A$9:$A$208,"&gt;="&amp;A21,'Kontrol Kayıtları'!$A$9:$A$208,"&lt;="&amp;B21,'Kontrol Kayıtları'!$R$9:$R$208,"PROSES BAŞLATILABİLİR"))</x:f>
      </x:c>
      <x:c r="E21" s="33" t="str">
        <x:f>IF(A21="","",COUNTIFS('Kontrol Kayıtları'!$A$9:$A$208,"&gt;="&amp;A21,'Kontrol Kayıtları'!$A$9:$A$208,"&lt;="&amp;B21,'Kontrol Kayıtları'!$R$9:$R$208,"EKSİKLERİ TAMAMLA"))</x:f>
      </x:c>
      <x:c r="F21" s="33" t="str">
        <x:f>IF(A21="","",COUNTIFS('Kontrol Kayıtları'!$A$9:$A$208,"&gt;="&amp;A21,'Kontrol Kayıtları'!$A$9:$A$208,"&lt;="&amp;B21,'Kontrol Kayıtları'!$R$9:$R$208,"BAŞLATMA"))</x:f>
      </x:c>
      <x:c r="G21" s="108" t="n">
        <x:f>IFERROR(SUMIFS('Kontrol Kayıtları'!$Q$9:$Q$208,'Kontrol Kayıtları'!$A$9:$A$208,"&gt;="&amp;A21,'Kontrol Kayıtları'!$A$9:$A$208,"&lt;="&amp;B21)/C21,0)</x:f>
        <x:v>0</x:v>
      </x:c>
      <x:c r="H21" s="33" t="str">
        <x:f>IF(A21="","",COUNTIFS('Kontrol Kayıtları'!$A$9:$A$208,"&gt;="&amp;A21,'Kontrol Kayıtları'!$A$9:$A$208,"&lt;="&amp;B21,'Kontrol Kayıtları'!$S$9:$S$208,"Düşük"))</x:f>
      </x:c>
      <x:c r="I21" s="33" t="str">
        <x:f>IF(A21="","",COUNTIFS('Kontrol Kayıtları'!$A$9:$A$208,"&gt;="&amp;A21,'Kontrol Kayıtları'!$A$9:$A$208,"&lt;="&amp;B21,'Kontrol Kayıtları'!$S$9:$S$208,"Orta"))</x:f>
      </x:c>
      <x:c r="J21" s="33" t="str">
        <x:f>IF(A21="","",COUNTIFS('Kontrol Kayıtları'!$A$9:$A$208,"&gt;="&amp;A21,'Kontrol Kayıtları'!$A$9:$A$208,"&lt;="&amp;B21,'Kontrol Kayıtları'!$S$9:$S$208,"Yüksek"))</x:f>
      </x:c>
      <x:c r="K21" s="33" t="str">
        <x:f>IF(A21="","",COUNTIFS('Kontrol Kayıtları'!$A$9:$A$208,"&gt;="&amp;A21,'Kontrol Kayıtları'!$A$9:$A$208,"&lt;="&amp;B21,'Kontrol Kayıtları'!$S$9:$S$208,"Kritik"))</x:f>
      </x:c>
      <x:c r="L21" s="33"/>
    </x:row>
    <x:row r="22">
      <x:c r="A22" s="92"/>
      <x:c r="B22" s="92" t="str">
        <x:f>IF(A22="","",A22+6)</x:f>
      </x:c>
      <x:c r="C22" s="38" t="str">
        <x:f>IF(A22="","",COUNTIFS('Kontrol Kayıtları'!$A$9:$A$208,"&gt;="&amp;A22,'Kontrol Kayıtları'!$A$9:$A$208,"&lt;="&amp;B22))</x:f>
      </x:c>
      <x:c r="D22" s="38" t="str">
        <x:f>IF(A22="","",COUNTIFS('Kontrol Kayıtları'!$A$9:$A$208,"&gt;="&amp;A22,'Kontrol Kayıtları'!$A$9:$A$208,"&lt;="&amp;B22,'Kontrol Kayıtları'!$R$9:$R$208,"PROSES BAŞLATILABİLİR"))</x:f>
      </x:c>
      <x:c r="E22" s="38" t="str">
        <x:f>IF(A22="","",COUNTIFS('Kontrol Kayıtları'!$A$9:$A$208,"&gt;="&amp;A22,'Kontrol Kayıtları'!$A$9:$A$208,"&lt;="&amp;B22,'Kontrol Kayıtları'!$R$9:$R$208,"EKSİKLERİ TAMAMLA"))</x:f>
      </x:c>
      <x:c r="F22" s="38" t="str">
        <x:f>IF(A22="","",COUNTIFS('Kontrol Kayıtları'!$A$9:$A$208,"&gt;="&amp;A22,'Kontrol Kayıtları'!$A$9:$A$208,"&lt;="&amp;B22,'Kontrol Kayıtları'!$R$9:$R$208,"BAŞLATMA"))</x:f>
      </x:c>
      <x:c r="G22" s="94" t="n">
        <x:f>IFERROR(SUMIFS('Kontrol Kayıtları'!$Q$9:$Q$208,'Kontrol Kayıtları'!$A$9:$A$208,"&gt;="&amp;A22,'Kontrol Kayıtları'!$A$9:$A$208,"&lt;="&amp;B22)/C22,0)</x:f>
        <x:v>0</x:v>
      </x:c>
      <x:c r="H22" s="38" t="str">
        <x:f>IF(A22="","",COUNTIFS('Kontrol Kayıtları'!$A$9:$A$208,"&gt;="&amp;A22,'Kontrol Kayıtları'!$A$9:$A$208,"&lt;="&amp;B22,'Kontrol Kayıtları'!$S$9:$S$208,"Düşük"))</x:f>
      </x:c>
      <x:c r="I22" s="38" t="str">
        <x:f>IF(A22="","",COUNTIFS('Kontrol Kayıtları'!$A$9:$A$208,"&gt;="&amp;A22,'Kontrol Kayıtları'!$A$9:$A$208,"&lt;="&amp;B22,'Kontrol Kayıtları'!$S$9:$S$208,"Orta"))</x:f>
      </x:c>
      <x:c r="J22" s="38" t="str">
        <x:f>IF(A22="","",COUNTIFS('Kontrol Kayıtları'!$A$9:$A$208,"&gt;="&amp;A22,'Kontrol Kayıtları'!$A$9:$A$208,"&lt;="&amp;B22,'Kontrol Kayıtları'!$S$9:$S$208,"Yüksek"))</x:f>
      </x:c>
      <x:c r="K22" s="38" t="str">
        <x:f>IF(A22="","",COUNTIFS('Kontrol Kayıtları'!$A$9:$A$208,"&gt;="&amp;A22,'Kontrol Kayıtları'!$A$9:$A$208,"&lt;="&amp;B22,'Kontrol Kayıtları'!$S$9:$S$208,"Kritik"))</x:f>
      </x:c>
      <x:c r="L22" s="38"/>
    </x:row>
    <x:row r="23">
      <x:c r="A23" s="106"/>
      <x:c r="B23" s="106" t="str">
        <x:f>IF(A23="","",A23+6)</x:f>
      </x:c>
      <x:c r="C23" s="33" t="str">
        <x:f>IF(A23="","",COUNTIFS('Kontrol Kayıtları'!$A$9:$A$208,"&gt;="&amp;A23,'Kontrol Kayıtları'!$A$9:$A$208,"&lt;="&amp;B23))</x:f>
      </x:c>
      <x:c r="D23" s="33" t="str">
        <x:f>IF(A23="","",COUNTIFS('Kontrol Kayıtları'!$A$9:$A$208,"&gt;="&amp;A23,'Kontrol Kayıtları'!$A$9:$A$208,"&lt;="&amp;B23,'Kontrol Kayıtları'!$R$9:$R$208,"PROSES BAŞLATILABİLİR"))</x:f>
      </x:c>
      <x:c r="E23" s="33" t="str">
        <x:f>IF(A23="","",COUNTIFS('Kontrol Kayıtları'!$A$9:$A$208,"&gt;="&amp;A23,'Kontrol Kayıtları'!$A$9:$A$208,"&lt;="&amp;B23,'Kontrol Kayıtları'!$R$9:$R$208,"EKSİKLERİ TAMAMLA"))</x:f>
      </x:c>
      <x:c r="F23" s="33" t="str">
        <x:f>IF(A23="","",COUNTIFS('Kontrol Kayıtları'!$A$9:$A$208,"&gt;="&amp;A23,'Kontrol Kayıtları'!$A$9:$A$208,"&lt;="&amp;B23,'Kontrol Kayıtları'!$R$9:$R$208,"BAŞLATMA"))</x:f>
      </x:c>
      <x:c r="G23" s="108" t="n">
        <x:f>IFERROR(SUMIFS('Kontrol Kayıtları'!$Q$9:$Q$208,'Kontrol Kayıtları'!$A$9:$A$208,"&gt;="&amp;A23,'Kontrol Kayıtları'!$A$9:$A$208,"&lt;="&amp;B23)/C23,0)</x:f>
        <x:v>0</x:v>
      </x:c>
      <x:c r="H23" s="33" t="str">
        <x:f>IF(A23="","",COUNTIFS('Kontrol Kayıtları'!$A$9:$A$208,"&gt;="&amp;A23,'Kontrol Kayıtları'!$A$9:$A$208,"&lt;="&amp;B23,'Kontrol Kayıtları'!$S$9:$S$208,"Düşük"))</x:f>
      </x:c>
      <x:c r="I23" s="33" t="str">
        <x:f>IF(A23="","",COUNTIFS('Kontrol Kayıtları'!$A$9:$A$208,"&gt;="&amp;A23,'Kontrol Kayıtları'!$A$9:$A$208,"&lt;="&amp;B23,'Kontrol Kayıtları'!$S$9:$S$208,"Orta"))</x:f>
      </x:c>
      <x:c r="J23" s="33" t="str">
        <x:f>IF(A23="","",COUNTIFS('Kontrol Kayıtları'!$A$9:$A$208,"&gt;="&amp;A23,'Kontrol Kayıtları'!$A$9:$A$208,"&lt;="&amp;B23,'Kontrol Kayıtları'!$S$9:$S$208,"Yüksek"))</x:f>
      </x:c>
      <x:c r="K23" s="33" t="str">
        <x:f>IF(A23="","",COUNTIFS('Kontrol Kayıtları'!$A$9:$A$208,"&gt;="&amp;A23,'Kontrol Kayıtları'!$A$9:$A$208,"&lt;="&amp;B23,'Kontrol Kayıtları'!$S$9:$S$208,"Kritik"))</x:f>
      </x:c>
      <x:c r="L23" s="33"/>
    </x:row>
    <x:row r="24">
      <x:c r="A24" s="92"/>
      <x:c r="B24" s="92" t="str">
        <x:f>IF(A24="","",A24+6)</x:f>
      </x:c>
      <x:c r="C24" s="38" t="str">
        <x:f>IF(A24="","",COUNTIFS('Kontrol Kayıtları'!$A$9:$A$208,"&gt;="&amp;A24,'Kontrol Kayıtları'!$A$9:$A$208,"&lt;="&amp;B24))</x:f>
      </x:c>
      <x:c r="D24" s="38" t="str">
        <x:f>IF(A24="","",COUNTIFS('Kontrol Kayıtları'!$A$9:$A$208,"&gt;="&amp;A24,'Kontrol Kayıtları'!$A$9:$A$208,"&lt;="&amp;B24,'Kontrol Kayıtları'!$R$9:$R$208,"PROSES BAŞLATILABİLİR"))</x:f>
      </x:c>
      <x:c r="E24" s="38" t="str">
        <x:f>IF(A24="","",COUNTIFS('Kontrol Kayıtları'!$A$9:$A$208,"&gt;="&amp;A24,'Kontrol Kayıtları'!$A$9:$A$208,"&lt;="&amp;B24,'Kontrol Kayıtları'!$R$9:$R$208,"EKSİKLERİ TAMAMLA"))</x:f>
      </x:c>
      <x:c r="F24" s="38" t="str">
        <x:f>IF(A24="","",COUNTIFS('Kontrol Kayıtları'!$A$9:$A$208,"&gt;="&amp;A24,'Kontrol Kayıtları'!$A$9:$A$208,"&lt;="&amp;B24,'Kontrol Kayıtları'!$R$9:$R$208,"BAŞLATMA"))</x:f>
      </x:c>
      <x:c r="G24" s="94" t="n">
        <x:f>IFERROR(SUMIFS('Kontrol Kayıtları'!$Q$9:$Q$208,'Kontrol Kayıtları'!$A$9:$A$208,"&gt;="&amp;A24,'Kontrol Kayıtları'!$A$9:$A$208,"&lt;="&amp;B24)/C24,0)</x:f>
        <x:v>0</x:v>
      </x:c>
      <x:c r="H24" s="38" t="str">
        <x:f>IF(A24="","",COUNTIFS('Kontrol Kayıtları'!$A$9:$A$208,"&gt;="&amp;A24,'Kontrol Kayıtları'!$A$9:$A$208,"&lt;="&amp;B24,'Kontrol Kayıtları'!$S$9:$S$208,"Düşük"))</x:f>
      </x:c>
      <x:c r="I24" s="38" t="str">
        <x:f>IF(A24="","",COUNTIFS('Kontrol Kayıtları'!$A$9:$A$208,"&gt;="&amp;A24,'Kontrol Kayıtları'!$A$9:$A$208,"&lt;="&amp;B24,'Kontrol Kayıtları'!$S$9:$S$208,"Orta"))</x:f>
      </x:c>
      <x:c r="J24" s="38" t="str">
        <x:f>IF(A24="","",COUNTIFS('Kontrol Kayıtları'!$A$9:$A$208,"&gt;="&amp;A24,'Kontrol Kayıtları'!$A$9:$A$208,"&lt;="&amp;B24,'Kontrol Kayıtları'!$S$9:$S$208,"Yüksek"))</x:f>
      </x:c>
      <x:c r="K24" s="38" t="str">
        <x:f>IF(A24="","",COUNTIFS('Kontrol Kayıtları'!$A$9:$A$208,"&gt;="&amp;A24,'Kontrol Kayıtları'!$A$9:$A$208,"&lt;="&amp;B24,'Kontrol Kayıtları'!$S$9:$S$208,"Kritik"))</x:f>
      </x:c>
      <x:c r="L24" s="38"/>
    </x:row>
    <x:row r="25">
      <x:c r="A25" s="106"/>
      <x:c r="B25" s="106" t="str">
        <x:f>IF(A25="","",A25+6)</x:f>
      </x:c>
      <x:c r="C25" s="33" t="str">
        <x:f>IF(A25="","",COUNTIFS('Kontrol Kayıtları'!$A$9:$A$208,"&gt;="&amp;A25,'Kontrol Kayıtları'!$A$9:$A$208,"&lt;="&amp;B25))</x:f>
      </x:c>
      <x:c r="D25" s="33" t="str">
        <x:f>IF(A25="","",COUNTIFS('Kontrol Kayıtları'!$A$9:$A$208,"&gt;="&amp;A25,'Kontrol Kayıtları'!$A$9:$A$208,"&lt;="&amp;B25,'Kontrol Kayıtları'!$R$9:$R$208,"PROSES BAŞLATILABİLİR"))</x:f>
      </x:c>
      <x:c r="E25" s="33" t="str">
        <x:f>IF(A25="","",COUNTIFS('Kontrol Kayıtları'!$A$9:$A$208,"&gt;="&amp;A25,'Kontrol Kayıtları'!$A$9:$A$208,"&lt;="&amp;B25,'Kontrol Kayıtları'!$R$9:$R$208,"EKSİKLERİ TAMAMLA"))</x:f>
      </x:c>
      <x:c r="F25" s="33" t="str">
        <x:f>IF(A25="","",COUNTIFS('Kontrol Kayıtları'!$A$9:$A$208,"&gt;="&amp;A25,'Kontrol Kayıtları'!$A$9:$A$208,"&lt;="&amp;B25,'Kontrol Kayıtları'!$R$9:$R$208,"BAŞLATMA"))</x:f>
      </x:c>
      <x:c r="G25" s="108" t="n">
        <x:f>IFERROR(SUMIFS('Kontrol Kayıtları'!$Q$9:$Q$208,'Kontrol Kayıtları'!$A$9:$A$208,"&gt;="&amp;A25,'Kontrol Kayıtları'!$A$9:$A$208,"&lt;="&amp;B25)/C25,0)</x:f>
        <x:v>0</x:v>
      </x:c>
      <x:c r="H25" s="33" t="str">
        <x:f>IF(A25="","",COUNTIFS('Kontrol Kayıtları'!$A$9:$A$208,"&gt;="&amp;A25,'Kontrol Kayıtları'!$A$9:$A$208,"&lt;="&amp;B25,'Kontrol Kayıtları'!$S$9:$S$208,"Düşük"))</x:f>
      </x:c>
      <x:c r="I25" s="33" t="str">
        <x:f>IF(A25="","",COUNTIFS('Kontrol Kayıtları'!$A$9:$A$208,"&gt;="&amp;A25,'Kontrol Kayıtları'!$A$9:$A$208,"&lt;="&amp;B25,'Kontrol Kayıtları'!$S$9:$S$208,"Orta"))</x:f>
      </x:c>
      <x:c r="J25" s="33" t="str">
        <x:f>IF(A25="","",COUNTIFS('Kontrol Kayıtları'!$A$9:$A$208,"&gt;="&amp;A25,'Kontrol Kayıtları'!$A$9:$A$208,"&lt;="&amp;B25,'Kontrol Kayıtları'!$S$9:$S$208,"Yüksek"))</x:f>
      </x:c>
      <x:c r="K25" s="33" t="str">
        <x:f>IF(A25="","",COUNTIFS('Kontrol Kayıtları'!$A$9:$A$208,"&gt;="&amp;A25,'Kontrol Kayıtları'!$A$9:$A$208,"&lt;="&amp;B25,'Kontrol Kayıtları'!$S$9:$S$208,"Kritik"))</x:f>
      </x:c>
      <x:c r="L25" s="33"/>
    </x:row>
    <x:row r="26">
      <x:c r="A26" s="92"/>
      <x:c r="B26" s="92" t="str">
        <x:f>IF(A26="","",A26+6)</x:f>
      </x:c>
      <x:c r="C26" s="38" t="str">
        <x:f>IF(A26="","",COUNTIFS('Kontrol Kayıtları'!$A$9:$A$208,"&gt;="&amp;A26,'Kontrol Kayıtları'!$A$9:$A$208,"&lt;="&amp;B26))</x:f>
      </x:c>
      <x:c r="D26" s="38" t="str">
        <x:f>IF(A26="","",COUNTIFS('Kontrol Kayıtları'!$A$9:$A$208,"&gt;="&amp;A26,'Kontrol Kayıtları'!$A$9:$A$208,"&lt;="&amp;B26,'Kontrol Kayıtları'!$R$9:$R$208,"PROSES BAŞLATILABİLİR"))</x:f>
      </x:c>
      <x:c r="E26" s="38" t="str">
        <x:f>IF(A26="","",COUNTIFS('Kontrol Kayıtları'!$A$9:$A$208,"&gt;="&amp;A26,'Kontrol Kayıtları'!$A$9:$A$208,"&lt;="&amp;B26,'Kontrol Kayıtları'!$R$9:$R$208,"EKSİKLERİ TAMAMLA"))</x:f>
      </x:c>
      <x:c r="F26" s="38" t="str">
        <x:f>IF(A26="","",COUNTIFS('Kontrol Kayıtları'!$A$9:$A$208,"&gt;="&amp;A26,'Kontrol Kayıtları'!$A$9:$A$208,"&lt;="&amp;B26,'Kontrol Kayıtları'!$R$9:$R$208,"BAŞLATMA"))</x:f>
      </x:c>
      <x:c r="G26" s="94" t="n">
        <x:f>IFERROR(SUMIFS('Kontrol Kayıtları'!$Q$9:$Q$208,'Kontrol Kayıtları'!$A$9:$A$208,"&gt;="&amp;A26,'Kontrol Kayıtları'!$A$9:$A$208,"&lt;="&amp;B26)/C26,0)</x:f>
        <x:v>0</x:v>
      </x:c>
      <x:c r="H26" s="38" t="str">
        <x:f>IF(A26="","",COUNTIFS('Kontrol Kayıtları'!$A$9:$A$208,"&gt;="&amp;A26,'Kontrol Kayıtları'!$A$9:$A$208,"&lt;="&amp;B26,'Kontrol Kayıtları'!$S$9:$S$208,"Düşük"))</x:f>
      </x:c>
      <x:c r="I26" s="38" t="str">
        <x:f>IF(A26="","",COUNTIFS('Kontrol Kayıtları'!$A$9:$A$208,"&gt;="&amp;A26,'Kontrol Kayıtları'!$A$9:$A$208,"&lt;="&amp;B26,'Kontrol Kayıtları'!$S$9:$S$208,"Orta"))</x:f>
      </x:c>
      <x:c r="J26" s="38" t="str">
        <x:f>IF(A26="","",COUNTIFS('Kontrol Kayıtları'!$A$9:$A$208,"&gt;="&amp;A26,'Kontrol Kayıtları'!$A$9:$A$208,"&lt;="&amp;B26,'Kontrol Kayıtları'!$S$9:$S$208,"Yüksek"))</x:f>
      </x:c>
      <x:c r="K26" s="38" t="str">
        <x:f>IF(A26="","",COUNTIFS('Kontrol Kayıtları'!$A$9:$A$208,"&gt;="&amp;A26,'Kontrol Kayıtları'!$A$9:$A$208,"&lt;="&amp;B26,'Kontrol Kayıtları'!$S$9:$S$208,"Kritik"))</x:f>
      </x:c>
      <x:c r="L26" s="38"/>
    </x:row>
    <x:row r="27">
      <x:c r="A27" s="106"/>
      <x:c r="B27" s="106" t="str">
        <x:f>IF(A27="","",A27+6)</x:f>
      </x:c>
      <x:c r="C27" s="33" t="str">
        <x:f>IF(A27="","",COUNTIFS('Kontrol Kayıtları'!$A$9:$A$208,"&gt;="&amp;A27,'Kontrol Kayıtları'!$A$9:$A$208,"&lt;="&amp;B27))</x:f>
      </x:c>
      <x:c r="D27" s="33" t="str">
        <x:f>IF(A27="","",COUNTIFS('Kontrol Kayıtları'!$A$9:$A$208,"&gt;="&amp;A27,'Kontrol Kayıtları'!$A$9:$A$208,"&lt;="&amp;B27,'Kontrol Kayıtları'!$R$9:$R$208,"PROSES BAŞLATILABİLİR"))</x:f>
      </x:c>
      <x:c r="E27" s="33" t="str">
        <x:f>IF(A27="","",COUNTIFS('Kontrol Kayıtları'!$A$9:$A$208,"&gt;="&amp;A27,'Kontrol Kayıtları'!$A$9:$A$208,"&lt;="&amp;B27,'Kontrol Kayıtları'!$R$9:$R$208,"EKSİKLERİ TAMAMLA"))</x:f>
      </x:c>
      <x:c r="F27" s="33" t="str">
        <x:f>IF(A27="","",COUNTIFS('Kontrol Kayıtları'!$A$9:$A$208,"&gt;="&amp;A27,'Kontrol Kayıtları'!$A$9:$A$208,"&lt;="&amp;B27,'Kontrol Kayıtları'!$R$9:$R$208,"BAŞLATMA"))</x:f>
      </x:c>
      <x:c r="G27" s="108" t="n">
        <x:f>IFERROR(SUMIFS('Kontrol Kayıtları'!$Q$9:$Q$208,'Kontrol Kayıtları'!$A$9:$A$208,"&gt;="&amp;A27,'Kontrol Kayıtları'!$A$9:$A$208,"&lt;="&amp;B27)/C27,0)</x:f>
        <x:v>0</x:v>
      </x:c>
      <x:c r="H27" s="33" t="str">
        <x:f>IF(A27="","",COUNTIFS('Kontrol Kayıtları'!$A$9:$A$208,"&gt;="&amp;A27,'Kontrol Kayıtları'!$A$9:$A$208,"&lt;="&amp;B27,'Kontrol Kayıtları'!$S$9:$S$208,"Düşük"))</x:f>
      </x:c>
      <x:c r="I27" s="33" t="str">
        <x:f>IF(A27="","",COUNTIFS('Kontrol Kayıtları'!$A$9:$A$208,"&gt;="&amp;A27,'Kontrol Kayıtları'!$A$9:$A$208,"&lt;="&amp;B27,'Kontrol Kayıtları'!$S$9:$S$208,"Orta"))</x:f>
      </x:c>
      <x:c r="J27" s="33" t="str">
        <x:f>IF(A27="","",COUNTIFS('Kontrol Kayıtları'!$A$9:$A$208,"&gt;="&amp;A27,'Kontrol Kayıtları'!$A$9:$A$208,"&lt;="&amp;B27,'Kontrol Kayıtları'!$S$9:$S$208,"Yüksek"))</x:f>
      </x:c>
      <x:c r="K27" s="33" t="str">
        <x:f>IF(A27="","",COUNTIFS('Kontrol Kayıtları'!$A$9:$A$208,"&gt;="&amp;A27,'Kontrol Kayıtları'!$A$9:$A$208,"&lt;="&amp;B27,'Kontrol Kayıtları'!$S$9:$S$208,"Kritik"))</x:f>
      </x:c>
      <x:c r="L27" s="33"/>
    </x:row>
    <x:row r="28">
      <x:c r="A28" s="92"/>
      <x:c r="B28" s="92" t="str">
        <x:f>IF(A28="","",A28+6)</x:f>
      </x:c>
      <x:c r="C28" s="38" t="str">
        <x:f>IF(A28="","",COUNTIFS('Kontrol Kayıtları'!$A$9:$A$208,"&gt;="&amp;A28,'Kontrol Kayıtları'!$A$9:$A$208,"&lt;="&amp;B28))</x:f>
      </x:c>
      <x:c r="D28" s="38" t="str">
        <x:f>IF(A28="","",COUNTIFS('Kontrol Kayıtları'!$A$9:$A$208,"&gt;="&amp;A28,'Kontrol Kayıtları'!$A$9:$A$208,"&lt;="&amp;B28,'Kontrol Kayıtları'!$R$9:$R$208,"PROSES BAŞLATILABİLİR"))</x:f>
      </x:c>
      <x:c r="E28" s="38" t="str">
        <x:f>IF(A28="","",COUNTIFS('Kontrol Kayıtları'!$A$9:$A$208,"&gt;="&amp;A28,'Kontrol Kayıtları'!$A$9:$A$208,"&lt;="&amp;B28,'Kontrol Kayıtları'!$R$9:$R$208,"EKSİKLERİ TAMAMLA"))</x:f>
      </x:c>
      <x:c r="F28" s="38" t="str">
        <x:f>IF(A28="","",COUNTIFS('Kontrol Kayıtları'!$A$9:$A$208,"&gt;="&amp;A28,'Kontrol Kayıtları'!$A$9:$A$208,"&lt;="&amp;B28,'Kontrol Kayıtları'!$R$9:$R$208,"BAŞLATMA"))</x:f>
      </x:c>
      <x:c r="G28" s="94" t="n">
        <x:f>IFERROR(SUMIFS('Kontrol Kayıtları'!$Q$9:$Q$208,'Kontrol Kayıtları'!$A$9:$A$208,"&gt;="&amp;A28,'Kontrol Kayıtları'!$A$9:$A$208,"&lt;="&amp;B28)/C28,0)</x:f>
        <x:v>0</x:v>
      </x:c>
      <x:c r="H28" s="38" t="str">
        <x:f>IF(A28="","",COUNTIFS('Kontrol Kayıtları'!$A$9:$A$208,"&gt;="&amp;A28,'Kontrol Kayıtları'!$A$9:$A$208,"&lt;="&amp;B28,'Kontrol Kayıtları'!$S$9:$S$208,"Düşük"))</x:f>
      </x:c>
      <x:c r="I28" s="38" t="str">
        <x:f>IF(A28="","",COUNTIFS('Kontrol Kayıtları'!$A$9:$A$208,"&gt;="&amp;A28,'Kontrol Kayıtları'!$A$9:$A$208,"&lt;="&amp;B28,'Kontrol Kayıtları'!$S$9:$S$208,"Orta"))</x:f>
      </x:c>
      <x:c r="J28" s="38" t="str">
        <x:f>IF(A28="","",COUNTIFS('Kontrol Kayıtları'!$A$9:$A$208,"&gt;="&amp;A28,'Kontrol Kayıtları'!$A$9:$A$208,"&lt;="&amp;B28,'Kontrol Kayıtları'!$S$9:$S$208,"Yüksek"))</x:f>
      </x:c>
      <x:c r="K28" s="38" t="str">
        <x:f>IF(A28="","",COUNTIFS('Kontrol Kayıtları'!$A$9:$A$208,"&gt;="&amp;A28,'Kontrol Kayıtları'!$A$9:$A$208,"&lt;="&amp;B28,'Kontrol Kayıtları'!$S$9:$S$208,"Kritik"))</x:f>
      </x:c>
      <x:c r="L28" s="38"/>
    </x:row>
    <x:row r="29">
      <x:c r="A29" s="106"/>
      <x:c r="B29" s="106" t="str">
        <x:f>IF(A29="","",A29+6)</x:f>
      </x:c>
      <x:c r="C29" s="33" t="str">
        <x:f>IF(A29="","",COUNTIFS('Kontrol Kayıtları'!$A$9:$A$208,"&gt;="&amp;A29,'Kontrol Kayıtları'!$A$9:$A$208,"&lt;="&amp;B29))</x:f>
      </x:c>
      <x:c r="D29" s="33" t="str">
        <x:f>IF(A29="","",COUNTIFS('Kontrol Kayıtları'!$A$9:$A$208,"&gt;="&amp;A29,'Kontrol Kayıtları'!$A$9:$A$208,"&lt;="&amp;B29,'Kontrol Kayıtları'!$R$9:$R$208,"PROSES BAŞLATILABİLİR"))</x:f>
      </x:c>
      <x:c r="E29" s="33" t="str">
        <x:f>IF(A29="","",COUNTIFS('Kontrol Kayıtları'!$A$9:$A$208,"&gt;="&amp;A29,'Kontrol Kayıtları'!$A$9:$A$208,"&lt;="&amp;B29,'Kontrol Kayıtları'!$R$9:$R$208,"EKSİKLERİ TAMAMLA"))</x:f>
      </x:c>
      <x:c r="F29" s="33" t="str">
        <x:f>IF(A29="","",COUNTIFS('Kontrol Kayıtları'!$A$9:$A$208,"&gt;="&amp;A29,'Kontrol Kayıtları'!$A$9:$A$208,"&lt;="&amp;B29,'Kontrol Kayıtları'!$R$9:$R$208,"BAŞLATMA"))</x:f>
      </x:c>
      <x:c r="G29" s="108" t="n">
        <x:f>IFERROR(SUMIFS('Kontrol Kayıtları'!$Q$9:$Q$208,'Kontrol Kayıtları'!$A$9:$A$208,"&gt;="&amp;A29,'Kontrol Kayıtları'!$A$9:$A$208,"&lt;="&amp;B29)/C29,0)</x:f>
        <x:v>0</x:v>
      </x:c>
      <x:c r="H29" s="33" t="str">
        <x:f>IF(A29="","",COUNTIFS('Kontrol Kayıtları'!$A$9:$A$208,"&gt;="&amp;A29,'Kontrol Kayıtları'!$A$9:$A$208,"&lt;="&amp;B29,'Kontrol Kayıtları'!$S$9:$S$208,"Düşük"))</x:f>
      </x:c>
      <x:c r="I29" s="33" t="str">
        <x:f>IF(A29="","",COUNTIFS('Kontrol Kayıtları'!$A$9:$A$208,"&gt;="&amp;A29,'Kontrol Kayıtları'!$A$9:$A$208,"&lt;="&amp;B29,'Kontrol Kayıtları'!$S$9:$S$208,"Orta"))</x:f>
      </x:c>
      <x:c r="J29" s="33" t="str">
        <x:f>IF(A29="","",COUNTIFS('Kontrol Kayıtları'!$A$9:$A$208,"&gt;="&amp;A29,'Kontrol Kayıtları'!$A$9:$A$208,"&lt;="&amp;B29,'Kontrol Kayıtları'!$S$9:$S$208,"Yüksek"))</x:f>
      </x:c>
      <x:c r="K29" s="33" t="str">
        <x:f>IF(A29="","",COUNTIFS('Kontrol Kayıtları'!$A$9:$A$208,"&gt;="&amp;A29,'Kontrol Kayıtları'!$A$9:$A$208,"&lt;="&amp;B29,'Kontrol Kayıtları'!$S$9:$S$208,"Kritik"))</x:f>
      </x:c>
      <x:c r="L29" s="33"/>
    </x:row>
    <x:row r="30">
      <x:c r="A30" s="92"/>
      <x:c r="B30" s="92" t="str">
        <x:f>IF(A30="","",A30+6)</x:f>
      </x:c>
      <x:c r="C30" s="38" t="str">
        <x:f>IF(A30="","",COUNTIFS('Kontrol Kayıtları'!$A$9:$A$208,"&gt;="&amp;A30,'Kontrol Kayıtları'!$A$9:$A$208,"&lt;="&amp;B30))</x:f>
      </x:c>
      <x:c r="D30" s="38" t="str">
        <x:f>IF(A30="","",COUNTIFS('Kontrol Kayıtları'!$A$9:$A$208,"&gt;="&amp;A30,'Kontrol Kayıtları'!$A$9:$A$208,"&lt;="&amp;B30,'Kontrol Kayıtları'!$R$9:$R$208,"PROSES BAŞLATILABİLİR"))</x:f>
      </x:c>
      <x:c r="E30" s="38" t="str">
        <x:f>IF(A30="","",COUNTIFS('Kontrol Kayıtları'!$A$9:$A$208,"&gt;="&amp;A30,'Kontrol Kayıtları'!$A$9:$A$208,"&lt;="&amp;B30,'Kontrol Kayıtları'!$R$9:$R$208,"EKSİKLERİ TAMAMLA"))</x:f>
      </x:c>
      <x:c r="F30" s="38" t="str">
        <x:f>IF(A30="","",COUNTIFS('Kontrol Kayıtları'!$A$9:$A$208,"&gt;="&amp;A30,'Kontrol Kayıtları'!$A$9:$A$208,"&lt;="&amp;B30,'Kontrol Kayıtları'!$R$9:$R$208,"BAŞLATMA"))</x:f>
      </x:c>
      <x:c r="G30" s="94" t="n">
        <x:f>IFERROR(SUMIFS('Kontrol Kayıtları'!$Q$9:$Q$208,'Kontrol Kayıtları'!$A$9:$A$208,"&gt;="&amp;A30,'Kontrol Kayıtları'!$A$9:$A$208,"&lt;="&amp;B30)/C30,0)</x:f>
        <x:v>0</x:v>
      </x:c>
      <x:c r="H30" s="38" t="str">
        <x:f>IF(A30="","",COUNTIFS('Kontrol Kayıtları'!$A$9:$A$208,"&gt;="&amp;A30,'Kontrol Kayıtları'!$A$9:$A$208,"&lt;="&amp;B30,'Kontrol Kayıtları'!$S$9:$S$208,"Düşük"))</x:f>
      </x:c>
      <x:c r="I30" s="38" t="str">
        <x:f>IF(A30="","",COUNTIFS('Kontrol Kayıtları'!$A$9:$A$208,"&gt;="&amp;A30,'Kontrol Kayıtları'!$A$9:$A$208,"&lt;="&amp;B30,'Kontrol Kayıtları'!$S$9:$S$208,"Orta"))</x:f>
      </x:c>
      <x:c r="J30" s="38" t="str">
        <x:f>IF(A30="","",COUNTIFS('Kontrol Kayıtları'!$A$9:$A$208,"&gt;="&amp;A30,'Kontrol Kayıtları'!$A$9:$A$208,"&lt;="&amp;B30,'Kontrol Kayıtları'!$S$9:$S$208,"Yüksek"))</x:f>
      </x:c>
      <x:c r="K30" s="38" t="str">
        <x:f>IF(A30="","",COUNTIFS('Kontrol Kayıtları'!$A$9:$A$208,"&gt;="&amp;A30,'Kontrol Kayıtları'!$A$9:$A$208,"&lt;="&amp;B30,'Kontrol Kayıtları'!$S$9:$S$208,"Kritik"))</x:f>
      </x:c>
      <x:c r="L30" s="38"/>
    </x:row>
    <x:row r="31">
      <x:c r="A31" s="106"/>
      <x:c r="B31" s="106" t="str">
        <x:f>IF(A31="","",A31+6)</x:f>
      </x:c>
      <x:c r="C31" s="33" t="str">
        <x:f>IF(A31="","",COUNTIFS('Kontrol Kayıtları'!$A$9:$A$208,"&gt;="&amp;A31,'Kontrol Kayıtları'!$A$9:$A$208,"&lt;="&amp;B31))</x:f>
      </x:c>
      <x:c r="D31" s="33" t="str">
        <x:f>IF(A31="","",COUNTIFS('Kontrol Kayıtları'!$A$9:$A$208,"&gt;="&amp;A31,'Kontrol Kayıtları'!$A$9:$A$208,"&lt;="&amp;B31,'Kontrol Kayıtları'!$R$9:$R$208,"PROSES BAŞLATILABİLİR"))</x:f>
      </x:c>
      <x:c r="E31" s="33" t="str">
        <x:f>IF(A31="","",COUNTIFS('Kontrol Kayıtları'!$A$9:$A$208,"&gt;="&amp;A31,'Kontrol Kayıtları'!$A$9:$A$208,"&lt;="&amp;B31,'Kontrol Kayıtları'!$R$9:$R$208,"EKSİKLERİ TAMAMLA"))</x:f>
      </x:c>
      <x:c r="F31" s="33" t="str">
        <x:f>IF(A31="","",COUNTIFS('Kontrol Kayıtları'!$A$9:$A$208,"&gt;="&amp;A31,'Kontrol Kayıtları'!$A$9:$A$208,"&lt;="&amp;B31,'Kontrol Kayıtları'!$R$9:$R$208,"BAŞLATMA"))</x:f>
      </x:c>
      <x:c r="G31" s="108" t="n">
        <x:f>IFERROR(SUMIFS('Kontrol Kayıtları'!$Q$9:$Q$208,'Kontrol Kayıtları'!$A$9:$A$208,"&gt;="&amp;A31,'Kontrol Kayıtları'!$A$9:$A$208,"&lt;="&amp;B31)/C31,0)</x:f>
        <x:v>0</x:v>
      </x:c>
      <x:c r="H31" s="33" t="str">
        <x:f>IF(A31="","",COUNTIFS('Kontrol Kayıtları'!$A$9:$A$208,"&gt;="&amp;A31,'Kontrol Kayıtları'!$A$9:$A$208,"&lt;="&amp;B31,'Kontrol Kayıtları'!$S$9:$S$208,"Düşük"))</x:f>
      </x:c>
      <x:c r="I31" s="33" t="str">
        <x:f>IF(A31="","",COUNTIFS('Kontrol Kayıtları'!$A$9:$A$208,"&gt;="&amp;A31,'Kontrol Kayıtları'!$A$9:$A$208,"&lt;="&amp;B31,'Kontrol Kayıtları'!$S$9:$S$208,"Orta"))</x:f>
      </x:c>
      <x:c r="J31" s="33" t="str">
        <x:f>IF(A31="","",COUNTIFS('Kontrol Kayıtları'!$A$9:$A$208,"&gt;="&amp;A31,'Kontrol Kayıtları'!$A$9:$A$208,"&lt;="&amp;B31,'Kontrol Kayıtları'!$S$9:$S$208,"Yüksek"))</x:f>
      </x:c>
      <x:c r="K31" s="33" t="str">
        <x:f>IF(A31="","",COUNTIFS('Kontrol Kayıtları'!$A$9:$A$208,"&gt;="&amp;A31,'Kontrol Kayıtları'!$A$9:$A$208,"&lt;="&amp;B31,'Kontrol Kayıtları'!$S$9:$S$208,"Kritik"))</x:f>
      </x:c>
      <x:c r="L31" s="33"/>
    </x:row>
    <x:row r="32">
      <x:c r="A32" s="92"/>
      <x:c r="B32" s="92" t="str">
        <x:f>IF(A32="","",A32+6)</x:f>
      </x:c>
      <x:c r="C32" s="38" t="str">
        <x:f>IF(A32="","",COUNTIFS('Kontrol Kayıtları'!$A$9:$A$208,"&gt;="&amp;A32,'Kontrol Kayıtları'!$A$9:$A$208,"&lt;="&amp;B32))</x:f>
      </x:c>
      <x:c r="D32" s="38" t="str">
        <x:f>IF(A32="","",COUNTIFS('Kontrol Kayıtları'!$A$9:$A$208,"&gt;="&amp;A32,'Kontrol Kayıtları'!$A$9:$A$208,"&lt;="&amp;B32,'Kontrol Kayıtları'!$R$9:$R$208,"PROSES BAŞLATILABİLİR"))</x:f>
      </x:c>
      <x:c r="E32" s="38" t="str">
        <x:f>IF(A32="","",COUNTIFS('Kontrol Kayıtları'!$A$9:$A$208,"&gt;="&amp;A32,'Kontrol Kayıtları'!$A$9:$A$208,"&lt;="&amp;B32,'Kontrol Kayıtları'!$R$9:$R$208,"EKSİKLERİ TAMAMLA"))</x:f>
      </x:c>
      <x:c r="F32" s="38" t="str">
        <x:f>IF(A32="","",COUNTIFS('Kontrol Kayıtları'!$A$9:$A$208,"&gt;="&amp;A32,'Kontrol Kayıtları'!$A$9:$A$208,"&lt;="&amp;B32,'Kontrol Kayıtları'!$R$9:$R$208,"BAŞLATMA"))</x:f>
      </x:c>
      <x:c r="G32" s="94" t="n">
        <x:f>IFERROR(SUMIFS('Kontrol Kayıtları'!$Q$9:$Q$208,'Kontrol Kayıtları'!$A$9:$A$208,"&gt;="&amp;A32,'Kontrol Kayıtları'!$A$9:$A$208,"&lt;="&amp;B32)/C32,0)</x:f>
        <x:v>0</x:v>
      </x:c>
      <x:c r="H32" s="38" t="str">
        <x:f>IF(A32="","",COUNTIFS('Kontrol Kayıtları'!$A$9:$A$208,"&gt;="&amp;A32,'Kontrol Kayıtları'!$A$9:$A$208,"&lt;="&amp;B32,'Kontrol Kayıtları'!$S$9:$S$208,"Düşük"))</x:f>
      </x:c>
      <x:c r="I32" s="38" t="str">
        <x:f>IF(A32="","",COUNTIFS('Kontrol Kayıtları'!$A$9:$A$208,"&gt;="&amp;A32,'Kontrol Kayıtları'!$A$9:$A$208,"&lt;="&amp;B32,'Kontrol Kayıtları'!$S$9:$S$208,"Orta"))</x:f>
      </x:c>
      <x:c r="J32" s="38" t="str">
        <x:f>IF(A32="","",COUNTIFS('Kontrol Kayıtları'!$A$9:$A$208,"&gt;="&amp;A32,'Kontrol Kayıtları'!$A$9:$A$208,"&lt;="&amp;B32,'Kontrol Kayıtları'!$S$9:$S$208,"Yüksek"))</x:f>
      </x:c>
      <x:c r="K32" s="38" t="str">
        <x:f>IF(A32="","",COUNTIFS('Kontrol Kayıtları'!$A$9:$A$208,"&gt;="&amp;A32,'Kontrol Kayıtları'!$A$9:$A$208,"&lt;="&amp;B32,'Kontrol Kayıtları'!$S$9:$S$208,"Kritik"))</x:f>
      </x:c>
      <x:c r="L32" s="38"/>
    </x:row>
    <x:row r="33">
      <x:c r="A33" s="106"/>
      <x:c r="B33" s="106" t="str">
        <x:f>IF(A33="","",A33+6)</x:f>
      </x:c>
      <x:c r="C33" s="33" t="str">
        <x:f>IF(A33="","",COUNTIFS('Kontrol Kayıtları'!$A$9:$A$208,"&gt;="&amp;A33,'Kontrol Kayıtları'!$A$9:$A$208,"&lt;="&amp;B33))</x:f>
      </x:c>
      <x:c r="D33" s="33" t="str">
        <x:f>IF(A33="","",COUNTIFS('Kontrol Kayıtları'!$A$9:$A$208,"&gt;="&amp;A33,'Kontrol Kayıtları'!$A$9:$A$208,"&lt;="&amp;B33,'Kontrol Kayıtları'!$R$9:$R$208,"PROSES BAŞLATILABİLİR"))</x:f>
      </x:c>
      <x:c r="E33" s="33" t="str">
        <x:f>IF(A33="","",COUNTIFS('Kontrol Kayıtları'!$A$9:$A$208,"&gt;="&amp;A33,'Kontrol Kayıtları'!$A$9:$A$208,"&lt;="&amp;B33,'Kontrol Kayıtları'!$R$9:$R$208,"EKSİKLERİ TAMAMLA"))</x:f>
      </x:c>
      <x:c r="F33" s="33" t="str">
        <x:f>IF(A33="","",COUNTIFS('Kontrol Kayıtları'!$A$9:$A$208,"&gt;="&amp;A33,'Kontrol Kayıtları'!$A$9:$A$208,"&lt;="&amp;B33,'Kontrol Kayıtları'!$R$9:$R$208,"BAŞLATMA"))</x:f>
      </x:c>
      <x:c r="G33" s="108" t="n">
        <x:f>IFERROR(SUMIFS('Kontrol Kayıtları'!$Q$9:$Q$208,'Kontrol Kayıtları'!$A$9:$A$208,"&gt;="&amp;A33,'Kontrol Kayıtları'!$A$9:$A$208,"&lt;="&amp;B33)/C33,0)</x:f>
        <x:v>0</x:v>
      </x:c>
      <x:c r="H33" s="33" t="str">
        <x:f>IF(A33="","",COUNTIFS('Kontrol Kayıtları'!$A$9:$A$208,"&gt;="&amp;A33,'Kontrol Kayıtları'!$A$9:$A$208,"&lt;="&amp;B33,'Kontrol Kayıtları'!$S$9:$S$208,"Düşük"))</x:f>
      </x:c>
      <x:c r="I33" s="33" t="str">
        <x:f>IF(A33="","",COUNTIFS('Kontrol Kayıtları'!$A$9:$A$208,"&gt;="&amp;A33,'Kontrol Kayıtları'!$A$9:$A$208,"&lt;="&amp;B33,'Kontrol Kayıtları'!$S$9:$S$208,"Orta"))</x:f>
      </x:c>
      <x:c r="J33" s="33" t="str">
        <x:f>IF(A33="","",COUNTIFS('Kontrol Kayıtları'!$A$9:$A$208,"&gt;="&amp;A33,'Kontrol Kayıtları'!$A$9:$A$208,"&lt;="&amp;B33,'Kontrol Kayıtları'!$S$9:$S$208,"Yüksek"))</x:f>
      </x:c>
      <x:c r="K33" s="33" t="str">
        <x:f>IF(A33="","",COUNTIFS('Kontrol Kayıtları'!$A$9:$A$208,"&gt;="&amp;A33,'Kontrol Kayıtları'!$A$9:$A$208,"&lt;="&amp;B33,'Kontrol Kayıtları'!$S$9:$S$208,"Kritik"))</x:f>
      </x:c>
      <x:c r="L33" s="33"/>
    </x:row>
    <x:row r="34">
      <x:c r="A34" s="92"/>
      <x:c r="B34" s="92" t="str">
        <x:f>IF(A34="","",A34+6)</x:f>
      </x:c>
      <x:c r="C34" s="38" t="str">
        <x:f>IF(A34="","",COUNTIFS('Kontrol Kayıtları'!$A$9:$A$208,"&gt;="&amp;A34,'Kontrol Kayıtları'!$A$9:$A$208,"&lt;="&amp;B34))</x:f>
      </x:c>
      <x:c r="D34" s="38" t="str">
        <x:f>IF(A34="","",COUNTIFS('Kontrol Kayıtları'!$A$9:$A$208,"&gt;="&amp;A34,'Kontrol Kayıtları'!$A$9:$A$208,"&lt;="&amp;B34,'Kontrol Kayıtları'!$R$9:$R$208,"PROSES BAŞLATILABİLİR"))</x:f>
      </x:c>
      <x:c r="E34" s="38" t="str">
        <x:f>IF(A34="","",COUNTIFS('Kontrol Kayıtları'!$A$9:$A$208,"&gt;="&amp;A34,'Kontrol Kayıtları'!$A$9:$A$208,"&lt;="&amp;B34,'Kontrol Kayıtları'!$R$9:$R$208,"EKSİKLERİ TAMAMLA"))</x:f>
      </x:c>
      <x:c r="F34" s="38" t="str">
        <x:f>IF(A34="","",COUNTIFS('Kontrol Kayıtları'!$A$9:$A$208,"&gt;="&amp;A34,'Kontrol Kayıtları'!$A$9:$A$208,"&lt;="&amp;B34,'Kontrol Kayıtları'!$R$9:$R$208,"BAŞLATMA"))</x:f>
      </x:c>
      <x:c r="G34" s="94" t="n">
        <x:f>IFERROR(SUMIFS('Kontrol Kayıtları'!$Q$9:$Q$208,'Kontrol Kayıtları'!$A$9:$A$208,"&gt;="&amp;A34,'Kontrol Kayıtları'!$A$9:$A$208,"&lt;="&amp;B34)/C34,0)</x:f>
        <x:v>0</x:v>
      </x:c>
      <x:c r="H34" s="38" t="str">
        <x:f>IF(A34="","",COUNTIFS('Kontrol Kayıtları'!$A$9:$A$208,"&gt;="&amp;A34,'Kontrol Kayıtları'!$A$9:$A$208,"&lt;="&amp;B34,'Kontrol Kayıtları'!$S$9:$S$208,"Düşük"))</x:f>
      </x:c>
      <x:c r="I34" s="38" t="str">
        <x:f>IF(A34="","",COUNTIFS('Kontrol Kayıtları'!$A$9:$A$208,"&gt;="&amp;A34,'Kontrol Kayıtları'!$A$9:$A$208,"&lt;="&amp;B34,'Kontrol Kayıtları'!$S$9:$S$208,"Orta"))</x:f>
      </x:c>
      <x:c r="J34" s="38" t="str">
        <x:f>IF(A34="","",COUNTIFS('Kontrol Kayıtları'!$A$9:$A$208,"&gt;="&amp;A34,'Kontrol Kayıtları'!$A$9:$A$208,"&lt;="&amp;B34,'Kontrol Kayıtları'!$S$9:$S$208,"Yüksek"))</x:f>
      </x:c>
      <x:c r="K34" s="38" t="str">
        <x:f>IF(A34="","",COUNTIFS('Kontrol Kayıtları'!$A$9:$A$208,"&gt;="&amp;A34,'Kontrol Kayıtları'!$A$9:$A$208,"&lt;="&amp;B34,'Kontrol Kayıtları'!$S$9:$S$208,"Kritik"))</x:f>
      </x:c>
      <x:c r="L34" s="38"/>
    </x:row>
    <x:row r="35">
      <x:c r="A35" s="106"/>
      <x:c r="B35" s="106" t="str">
        <x:f>IF(A35="","",A35+6)</x:f>
      </x:c>
      <x:c r="C35" s="33" t="str">
        <x:f>IF(A35="","",COUNTIFS('Kontrol Kayıtları'!$A$9:$A$208,"&gt;="&amp;A35,'Kontrol Kayıtları'!$A$9:$A$208,"&lt;="&amp;B35))</x:f>
      </x:c>
      <x:c r="D35" s="33" t="str">
        <x:f>IF(A35="","",COUNTIFS('Kontrol Kayıtları'!$A$9:$A$208,"&gt;="&amp;A35,'Kontrol Kayıtları'!$A$9:$A$208,"&lt;="&amp;B35,'Kontrol Kayıtları'!$R$9:$R$208,"PROSES BAŞLATILABİLİR"))</x:f>
      </x:c>
      <x:c r="E35" s="33" t="str">
        <x:f>IF(A35="","",COUNTIFS('Kontrol Kayıtları'!$A$9:$A$208,"&gt;="&amp;A35,'Kontrol Kayıtları'!$A$9:$A$208,"&lt;="&amp;B35,'Kontrol Kayıtları'!$R$9:$R$208,"EKSİKLERİ TAMAMLA"))</x:f>
      </x:c>
      <x:c r="F35" s="33" t="str">
        <x:f>IF(A35="","",COUNTIFS('Kontrol Kayıtları'!$A$9:$A$208,"&gt;="&amp;A35,'Kontrol Kayıtları'!$A$9:$A$208,"&lt;="&amp;B35,'Kontrol Kayıtları'!$R$9:$R$208,"BAŞLATMA"))</x:f>
      </x:c>
      <x:c r="G35" s="108" t="n">
        <x:f>IFERROR(SUMIFS('Kontrol Kayıtları'!$Q$9:$Q$208,'Kontrol Kayıtları'!$A$9:$A$208,"&gt;="&amp;A35,'Kontrol Kayıtları'!$A$9:$A$208,"&lt;="&amp;B35)/C35,0)</x:f>
        <x:v>0</x:v>
      </x:c>
      <x:c r="H35" s="33" t="str">
        <x:f>IF(A35="","",COUNTIFS('Kontrol Kayıtları'!$A$9:$A$208,"&gt;="&amp;A35,'Kontrol Kayıtları'!$A$9:$A$208,"&lt;="&amp;B35,'Kontrol Kayıtları'!$S$9:$S$208,"Düşük"))</x:f>
      </x:c>
      <x:c r="I35" s="33" t="str">
        <x:f>IF(A35="","",COUNTIFS('Kontrol Kayıtları'!$A$9:$A$208,"&gt;="&amp;A35,'Kontrol Kayıtları'!$A$9:$A$208,"&lt;="&amp;B35,'Kontrol Kayıtları'!$S$9:$S$208,"Orta"))</x:f>
      </x:c>
      <x:c r="J35" s="33" t="str">
        <x:f>IF(A35="","",COUNTIFS('Kontrol Kayıtları'!$A$9:$A$208,"&gt;="&amp;A35,'Kontrol Kayıtları'!$A$9:$A$208,"&lt;="&amp;B35,'Kontrol Kayıtları'!$S$9:$S$208,"Yüksek"))</x:f>
      </x:c>
      <x:c r="K35" s="33" t="str">
        <x:f>IF(A35="","",COUNTIFS('Kontrol Kayıtları'!$A$9:$A$208,"&gt;="&amp;A35,'Kontrol Kayıtları'!$A$9:$A$208,"&lt;="&amp;B35,'Kontrol Kayıtları'!$S$9:$S$208,"Kritik"))</x:f>
      </x:c>
      <x:c r="L35" s="33"/>
    </x:row>
    <x:row r="36">
      <x:c r="A36" s="92"/>
      <x:c r="B36" s="92" t="str">
        <x:f>IF(A36="","",A36+6)</x:f>
      </x:c>
      <x:c r="C36" s="38" t="str">
        <x:f>IF(A36="","",COUNTIFS('Kontrol Kayıtları'!$A$9:$A$208,"&gt;="&amp;A36,'Kontrol Kayıtları'!$A$9:$A$208,"&lt;="&amp;B36))</x:f>
      </x:c>
      <x:c r="D36" s="38" t="str">
        <x:f>IF(A36="","",COUNTIFS('Kontrol Kayıtları'!$A$9:$A$208,"&gt;="&amp;A36,'Kontrol Kayıtları'!$A$9:$A$208,"&lt;="&amp;B36,'Kontrol Kayıtları'!$R$9:$R$208,"PROSES BAŞLATILABİLİR"))</x:f>
      </x:c>
      <x:c r="E36" s="38" t="str">
        <x:f>IF(A36="","",COUNTIFS('Kontrol Kayıtları'!$A$9:$A$208,"&gt;="&amp;A36,'Kontrol Kayıtları'!$A$9:$A$208,"&lt;="&amp;B36,'Kontrol Kayıtları'!$R$9:$R$208,"EKSİKLERİ TAMAMLA"))</x:f>
      </x:c>
      <x:c r="F36" s="38" t="str">
        <x:f>IF(A36="","",COUNTIFS('Kontrol Kayıtları'!$A$9:$A$208,"&gt;="&amp;A36,'Kontrol Kayıtları'!$A$9:$A$208,"&lt;="&amp;B36,'Kontrol Kayıtları'!$R$9:$R$208,"BAŞLATMA"))</x:f>
      </x:c>
      <x:c r="G36" s="94" t="n">
        <x:f>IFERROR(SUMIFS('Kontrol Kayıtları'!$Q$9:$Q$208,'Kontrol Kayıtları'!$A$9:$A$208,"&gt;="&amp;A36,'Kontrol Kayıtları'!$A$9:$A$208,"&lt;="&amp;B36)/C36,0)</x:f>
        <x:v>0</x:v>
      </x:c>
      <x:c r="H36" s="38" t="str">
        <x:f>IF(A36="","",COUNTIFS('Kontrol Kayıtları'!$A$9:$A$208,"&gt;="&amp;A36,'Kontrol Kayıtları'!$A$9:$A$208,"&lt;="&amp;B36,'Kontrol Kayıtları'!$S$9:$S$208,"Düşük"))</x:f>
      </x:c>
      <x:c r="I36" s="38" t="str">
        <x:f>IF(A36="","",COUNTIFS('Kontrol Kayıtları'!$A$9:$A$208,"&gt;="&amp;A36,'Kontrol Kayıtları'!$A$9:$A$208,"&lt;="&amp;B36,'Kontrol Kayıtları'!$S$9:$S$208,"Orta"))</x:f>
      </x:c>
      <x:c r="J36" s="38" t="str">
        <x:f>IF(A36="","",COUNTIFS('Kontrol Kayıtları'!$A$9:$A$208,"&gt;="&amp;A36,'Kontrol Kayıtları'!$A$9:$A$208,"&lt;="&amp;B36,'Kontrol Kayıtları'!$S$9:$S$208,"Yüksek"))</x:f>
      </x:c>
      <x:c r="K36" s="38" t="str">
        <x:f>IF(A36="","",COUNTIFS('Kontrol Kayıtları'!$A$9:$A$208,"&gt;="&amp;A36,'Kontrol Kayıtları'!$A$9:$A$208,"&lt;="&amp;B36,'Kontrol Kayıtları'!$S$9:$S$208,"Kritik"))</x:f>
      </x:c>
      <x:c r="L36" s="38"/>
    </x:row>
    <x:row r="37">
      <x:c r="A37" s="106"/>
      <x:c r="B37" s="106" t="str">
        <x:f>IF(A37="","",A37+6)</x:f>
      </x:c>
      <x:c r="C37" s="33" t="str">
        <x:f>IF(A37="","",COUNTIFS('Kontrol Kayıtları'!$A$9:$A$208,"&gt;="&amp;A37,'Kontrol Kayıtları'!$A$9:$A$208,"&lt;="&amp;B37))</x:f>
      </x:c>
      <x:c r="D37" s="33" t="str">
        <x:f>IF(A37="","",COUNTIFS('Kontrol Kayıtları'!$A$9:$A$208,"&gt;="&amp;A37,'Kontrol Kayıtları'!$A$9:$A$208,"&lt;="&amp;B37,'Kontrol Kayıtları'!$R$9:$R$208,"PROSES BAŞLATILABİLİR"))</x:f>
      </x:c>
      <x:c r="E37" s="33" t="str">
        <x:f>IF(A37="","",COUNTIFS('Kontrol Kayıtları'!$A$9:$A$208,"&gt;="&amp;A37,'Kontrol Kayıtları'!$A$9:$A$208,"&lt;="&amp;B37,'Kontrol Kayıtları'!$R$9:$R$208,"EKSİKLERİ TAMAMLA"))</x:f>
      </x:c>
      <x:c r="F37" s="33" t="str">
        <x:f>IF(A37="","",COUNTIFS('Kontrol Kayıtları'!$A$9:$A$208,"&gt;="&amp;A37,'Kontrol Kayıtları'!$A$9:$A$208,"&lt;="&amp;B37,'Kontrol Kayıtları'!$R$9:$R$208,"BAŞLATMA"))</x:f>
      </x:c>
      <x:c r="G37" s="108" t="n">
        <x:f>IFERROR(SUMIFS('Kontrol Kayıtları'!$Q$9:$Q$208,'Kontrol Kayıtları'!$A$9:$A$208,"&gt;="&amp;A37,'Kontrol Kayıtları'!$A$9:$A$208,"&lt;="&amp;B37)/C37,0)</x:f>
        <x:v>0</x:v>
      </x:c>
      <x:c r="H37" s="33" t="str">
        <x:f>IF(A37="","",COUNTIFS('Kontrol Kayıtları'!$A$9:$A$208,"&gt;="&amp;A37,'Kontrol Kayıtları'!$A$9:$A$208,"&lt;="&amp;B37,'Kontrol Kayıtları'!$S$9:$S$208,"Düşük"))</x:f>
      </x:c>
      <x:c r="I37" s="33" t="str">
        <x:f>IF(A37="","",COUNTIFS('Kontrol Kayıtları'!$A$9:$A$208,"&gt;="&amp;A37,'Kontrol Kayıtları'!$A$9:$A$208,"&lt;="&amp;B37,'Kontrol Kayıtları'!$S$9:$S$208,"Orta"))</x:f>
      </x:c>
      <x:c r="J37" s="33" t="str">
        <x:f>IF(A37="","",COUNTIFS('Kontrol Kayıtları'!$A$9:$A$208,"&gt;="&amp;A37,'Kontrol Kayıtları'!$A$9:$A$208,"&lt;="&amp;B37,'Kontrol Kayıtları'!$S$9:$S$208,"Yüksek"))</x:f>
      </x:c>
      <x:c r="K37" s="33" t="str">
        <x:f>IF(A37="","",COUNTIFS('Kontrol Kayıtları'!$A$9:$A$208,"&gt;="&amp;A37,'Kontrol Kayıtları'!$A$9:$A$208,"&lt;="&amp;B37,'Kontrol Kayıtları'!$S$9:$S$208,"Kritik"))</x:f>
      </x:c>
      <x:c r="L37" s="33"/>
    </x:row>
    <x:row r="38">
      <x:c r="A38" s="92"/>
      <x:c r="B38" s="92" t="str">
        <x:f>IF(A38="","",A38+6)</x:f>
      </x:c>
      <x:c r="C38" s="38" t="str">
        <x:f>IF(A38="","",COUNTIFS('Kontrol Kayıtları'!$A$9:$A$208,"&gt;="&amp;A38,'Kontrol Kayıtları'!$A$9:$A$208,"&lt;="&amp;B38))</x:f>
      </x:c>
      <x:c r="D38" s="38" t="str">
        <x:f>IF(A38="","",COUNTIFS('Kontrol Kayıtları'!$A$9:$A$208,"&gt;="&amp;A38,'Kontrol Kayıtları'!$A$9:$A$208,"&lt;="&amp;B38,'Kontrol Kayıtları'!$R$9:$R$208,"PROSES BAŞLATILABİLİR"))</x:f>
      </x:c>
      <x:c r="E38" s="38" t="str">
        <x:f>IF(A38="","",COUNTIFS('Kontrol Kayıtları'!$A$9:$A$208,"&gt;="&amp;A38,'Kontrol Kayıtları'!$A$9:$A$208,"&lt;="&amp;B38,'Kontrol Kayıtları'!$R$9:$R$208,"EKSİKLERİ TAMAMLA"))</x:f>
      </x:c>
      <x:c r="F38" s="38" t="str">
        <x:f>IF(A38="","",COUNTIFS('Kontrol Kayıtları'!$A$9:$A$208,"&gt;="&amp;A38,'Kontrol Kayıtları'!$A$9:$A$208,"&lt;="&amp;B38,'Kontrol Kayıtları'!$R$9:$R$208,"BAŞLATMA"))</x:f>
      </x:c>
      <x:c r="G38" s="94" t="n">
        <x:f>IFERROR(SUMIFS('Kontrol Kayıtları'!$Q$9:$Q$208,'Kontrol Kayıtları'!$A$9:$A$208,"&gt;="&amp;A38,'Kontrol Kayıtları'!$A$9:$A$208,"&lt;="&amp;B38)/C38,0)</x:f>
        <x:v>0</x:v>
      </x:c>
      <x:c r="H38" s="38" t="str">
        <x:f>IF(A38="","",COUNTIFS('Kontrol Kayıtları'!$A$9:$A$208,"&gt;="&amp;A38,'Kontrol Kayıtları'!$A$9:$A$208,"&lt;="&amp;B38,'Kontrol Kayıtları'!$S$9:$S$208,"Düşük"))</x:f>
      </x:c>
      <x:c r="I38" s="38" t="str">
        <x:f>IF(A38="","",COUNTIFS('Kontrol Kayıtları'!$A$9:$A$208,"&gt;="&amp;A38,'Kontrol Kayıtları'!$A$9:$A$208,"&lt;="&amp;B38,'Kontrol Kayıtları'!$S$9:$S$208,"Orta"))</x:f>
      </x:c>
      <x:c r="J38" s="38" t="str">
        <x:f>IF(A38="","",COUNTIFS('Kontrol Kayıtları'!$A$9:$A$208,"&gt;="&amp;A38,'Kontrol Kayıtları'!$A$9:$A$208,"&lt;="&amp;B38,'Kontrol Kayıtları'!$S$9:$S$208,"Yüksek"))</x:f>
      </x:c>
      <x:c r="K38" s="38" t="str">
        <x:f>IF(A38="","",COUNTIFS('Kontrol Kayıtları'!$A$9:$A$208,"&gt;="&amp;A38,'Kontrol Kayıtları'!$A$9:$A$208,"&lt;="&amp;B38,'Kontrol Kayıtları'!$S$9:$S$208,"Kritik"))</x:f>
      </x:c>
      <x:c r="L38" s="38"/>
    </x:row>
    <x:row r="39">
      <x:c r="A39" s="106"/>
      <x:c r="B39" s="106" t="str">
        <x:f>IF(A39="","",A39+6)</x:f>
      </x:c>
      <x:c r="C39" s="33" t="str">
        <x:f>IF(A39="","",COUNTIFS('Kontrol Kayıtları'!$A$9:$A$208,"&gt;="&amp;A39,'Kontrol Kayıtları'!$A$9:$A$208,"&lt;="&amp;B39))</x:f>
      </x:c>
      <x:c r="D39" s="33" t="str">
        <x:f>IF(A39="","",COUNTIFS('Kontrol Kayıtları'!$A$9:$A$208,"&gt;="&amp;A39,'Kontrol Kayıtları'!$A$9:$A$208,"&lt;="&amp;B39,'Kontrol Kayıtları'!$R$9:$R$208,"PROSES BAŞLATILABİLİR"))</x:f>
      </x:c>
      <x:c r="E39" s="33" t="str">
        <x:f>IF(A39="","",COUNTIFS('Kontrol Kayıtları'!$A$9:$A$208,"&gt;="&amp;A39,'Kontrol Kayıtları'!$A$9:$A$208,"&lt;="&amp;B39,'Kontrol Kayıtları'!$R$9:$R$208,"EKSİKLERİ TAMAMLA"))</x:f>
      </x:c>
      <x:c r="F39" s="33" t="str">
        <x:f>IF(A39="","",COUNTIFS('Kontrol Kayıtları'!$A$9:$A$208,"&gt;="&amp;A39,'Kontrol Kayıtları'!$A$9:$A$208,"&lt;="&amp;B39,'Kontrol Kayıtları'!$R$9:$R$208,"BAŞLATMA"))</x:f>
      </x:c>
      <x:c r="G39" s="108" t="n">
        <x:f>IFERROR(SUMIFS('Kontrol Kayıtları'!$Q$9:$Q$208,'Kontrol Kayıtları'!$A$9:$A$208,"&gt;="&amp;A39,'Kontrol Kayıtları'!$A$9:$A$208,"&lt;="&amp;B39)/C39,0)</x:f>
        <x:v>0</x:v>
      </x:c>
      <x:c r="H39" s="33" t="str">
        <x:f>IF(A39="","",COUNTIFS('Kontrol Kayıtları'!$A$9:$A$208,"&gt;="&amp;A39,'Kontrol Kayıtları'!$A$9:$A$208,"&lt;="&amp;B39,'Kontrol Kayıtları'!$S$9:$S$208,"Düşük"))</x:f>
      </x:c>
      <x:c r="I39" s="33" t="str">
        <x:f>IF(A39="","",COUNTIFS('Kontrol Kayıtları'!$A$9:$A$208,"&gt;="&amp;A39,'Kontrol Kayıtları'!$A$9:$A$208,"&lt;="&amp;B39,'Kontrol Kayıtları'!$S$9:$S$208,"Orta"))</x:f>
      </x:c>
      <x:c r="J39" s="33" t="str">
        <x:f>IF(A39="","",COUNTIFS('Kontrol Kayıtları'!$A$9:$A$208,"&gt;="&amp;A39,'Kontrol Kayıtları'!$A$9:$A$208,"&lt;="&amp;B39,'Kontrol Kayıtları'!$S$9:$S$208,"Yüksek"))</x:f>
      </x:c>
      <x:c r="K39" s="33" t="str">
        <x:f>IF(A39="","",COUNTIFS('Kontrol Kayıtları'!$A$9:$A$208,"&gt;="&amp;A39,'Kontrol Kayıtları'!$A$9:$A$208,"&lt;="&amp;B39,'Kontrol Kayıtları'!$S$9:$S$208,"Kritik"))</x:f>
      </x:c>
      <x:c r="L39" s="33"/>
    </x:row>
    <x:row r="40">
      <x:c r="A40" s="92"/>
      <x:c r="B40" s="92" t="str">
        <x:f>IF(A40="","",A40+6)</x:f>
      </x:c>
      <x:c r="C40" s="38" t="str">
        <x:f>IF(A40="","",COUNTIFS('Kontrol Kayıtları'!$A$9:$A$208,"&gt;="&amp;A40,'Kontrol Kayıtları'!$A$9:$A$208,"&lt;="&amp;B40))</x:f>
      </x:c>
      <x:c r="D40" s="38" t="str">
        <x:f>IF(A40="","",COUNTIFS('Kontrol Kayıtları'!$A$9:$A$208,"&gt;="&amp;A40,'Kontrol Kayıtları'!$A$9:$A$208,"&lt;="&amp;B40,'Kontrol Kayıtları'!$R$9:$R$208,"PROSES BAŞLATILABİLİR"))</x:f>
      </x:c>
      <x:c r="E40" s="38" t="str">
        <x:f>IF(A40="","",COUNTIFS('Kontrol Kayıtları'!$A$9:$A$208,"&gt;="&amp;A40,'Kontrol Kayıtları'!$A$9:$A$208,"&lt;="&amp;B40,'Kontrol Kayıtları'!$R$9:$R$208,"EKSİKLERİ TAMAMLA"))</x:f>
      </x:c>
      <x:c r="F40" s="38" t="str">
        <x:f>IF(A40="","",COUNTIFS('Kontrol Kayıtları'!$A$9:$A$208,"&gt;="&amp;A40,'Kontrol Kayıtları'!$A$9:$A$208,"&lt;="&amp;B40,'Kontrol Kayıtları'!$R$9:$R$208,"BAŞLATMA"))</x:f>
      </x:c>
      <x:c r="G40" s="94" t="n">
        <x:f>IFERROR(SUMIFS('Kontrol Kayıtları'!$Q$9:$Q$208,'Kontrol Kayıtları'!$A$9:$A$208,"&gt;="&amp;A40,'Kontrol Kayıtları'!$A$9:$A$208,"&lt;="&amp;B40)/C40,0)</x:f>
        <x:v>0</x:v>
      </x:c>
      <x:c r="H40" s="38" t="str">
        <x:f>IF(A40="","",COUNTIFS('Kontrol Kayıtları'!$A$9:$A$208,"&gt;="&amp;A40,'Kontrol Kayıtları'!$A$9:$A$208,"&lt;="&amp;B40,'Kontrol Kayıtları'!$S$9:$S$208,"Düşük"))</x:f>
      </x:c>
      <x:c r="I40" s="38" t="str">
        <x:f>IF(A40="","",COUNTIFS('Kontrol Kayıtları'!$A$9:$A$208,"&gt;="&amp;A40,'Kontrol Kayıtları'!$A$9:$A$208,"&lt;="&amp;B40,'Kontrol Kayıtları'!$S$9:$S$208,"Orta"))</x:f>
      </x:c>
      <x:c r="J40" s="38" t="str">
        <x:f>IF(A40="","",COUNTIFS('Kontrol Kayıtları'!$A$9:$A$208,"&gt;="&amp;A40,'Kontrol Kayıtları'!$A$9:$A$208,"&lt;="&amp;B40,'Kontrol Kayıtları'!$S$9:$S$208,"Yüksek"))</x:f>
      </x:c>
      <x:c r="K40" s="38" t="str">
        <x:f>IF(A40="","",COUNTIFS('Kontrol Kayıtları'!$A$9:$A$208,"&gt;="&amp;A40,'Kontrol Kayıtları'!$A$9:$A$208,"&lt;="&amp;B40,'Kontrol Kayıtları'!$S$9:$S$208,"Kritik"))</x:f>
      </x:c>
      <x:c r="L40" s="38"/>
    </x:row>
    <x:row r="41">
      <x:c r="A41" s="106"/>
      <x:c r="B41" s="106" t="str">
        <x:f>IF(A41="","",A41+6)</x:f>
      </x:c>
      <x:c r="C41" s="33" t="str">
        <x:f>IF(A41="","",COUNTIFS('Kontrol Kayıtları'!$A$9:$A$208,"&gt;="&amp;A41,'Kontrol Kayıtları'!$A$9:$A$208,"&lt;="&amp;B41))</x:f>
      </x:c>
      <x:c r="D41" s="33" t="str">
        <x:f>IF(A41="","",COUNTIFS('Kontrol Kayıtları'!$A$9:$A$208,"&gt;="&amp;A41,'Kontrol Kayıtları'!$A$9:$A$208,"&lt;="&amp;B41,'Kontrol Kayıtları'!$R$9:$R$208,"PROSES BAŞLATILABİLİR"))</x:f>
      </x:c>
      <x:c r="E41" s="33" t="str">
        <x:f>IF(A41="","",COUNTIFS('Kontrol Kayıtları'!$A$9:$A$208,"&gt;="&amp;A41,'Kontrol Kayıtları'!$A$9:$A$208,"&lt;="&amp;B41,'Kontrol Kayıtları'!$R$9:$R$208,"EKSİKLERİ TAMAMLA"))</x:f>
      </x:c>
      <x:c r="F41" s="33" t="str">
        <x:f>IF(A41="","",COUNTIFS('Kontrol Kayıtları'!$A$9:$A$208,"&gt;="&amp;A41,'Kontrol Kayıtları'!$A$9:$A$208,"&lt;="&amp;B41,'Kontrol Kayıtları'!$R$9:$R$208,"BAŞLATMA"))</x:f>
      </x:c>
      <x:c r="G41" s="108" t="n">
        <x:f>IFERROR(SUMIFS('Kontrol Kayıtları'!$Q$9:$Q$208,'Kontrol Kayıtları'!$A$9:$A$208,"&gt;="&amp;A41,'Kontrol Kayıtları'!$A$9:$A$208,"&lt;="&amp;B41)/C41,0)</x:f>
        <x:v>0</x:v>
      </x:c>
      <x:c r="H41" s="33" t="str">
        <x:f>IF(A41="","",COUNTIFS('Kontrol Kayıtları'!$A$9:$A$208,"&gt;="&amp;A41,'Kontrol Kayıtları'!$A$9:$A$208,"&lt;="&amp;B41,'Kontrol Kayıtları'!$S$9:$S$208,"Düşük"))</x:f>
      </x:c>
      <x:c r="I41" s="33" t="str">
        <x:f>IF(A41="","",COUNTIFS('Kontrol Kayıtları'!$A$9:$A$208,"&gt;="&amp;A41,'Kontrol Kayıtları'!$A$9:$A$208,"&lt;="&amp;B41,'Kontrol Kayıtları'!$S$9:$S$208,"Orta"))</x:f>
      </x:c>
      <x:c r="J41" s="33" t="str">
        <x:f>IF(A41="","",COUNTIFS('Kontrol Kayıtları'!$A$9:$A$208,"&gt;="&amp;A41,'Kontrol Kayıtları'!$A$9:$A$208,"&lt;="&amp;B41,'Kontrol Kayıtları'!$S$9:$S$208,"Yüksek"))</x:f>
      </x:c>
      <x:c r="K41" s="33" t="str">
        <x:f>IF(A41="","",COUNTIFS('Kontrol Kayıtları'!$A$9:$A$208,"&gt;="&amp;A41,'Kontrol Kayıtları'!$A$9:$A$208,"&lt;="&amp;B41,'Kontrol Kayıtları'!$S$9:$S$208,"Kritik"))</x:f>
      </x:c>
      <x:c r="L41" s="33"/>
    </x:row>
    <x:row r="42">
      <x:c r="A42" s="92"/>
      <x:c r="B42" s="92" t="str">
        <x:f>IF(A42="","",A42+6)</x:f>
      </x:c>
      <x:c r="C42" s="38" t="str">
        <x:f>IF(A42="","",COUNTIFS('Kontrol Kayıtları'!$A$9:$A$208,"&gt;="&amp;A42,'Kontrol Kayıtları'!$A$9:$A$208,"&lt;="&amp;B42))</x:f>
      </x:c>
      <x:c r="D42" s="38" t="str">
        <x:f>IF(A42="","",COUNTIFS('Kontrol Kayıtları'!$A$9:$A$208,"&gt;="&amp;A42,'Kontrol Kayıtları'!$A$9:$A$208,"&lt;="&amp;B42,'Kontrol Kayıtları'!$R$9:$R$208,"PROSES BAŞLATILABİLİR"))</x:f>
      </x:c>
      <x:c r="E42" s="38" t="str">
        <x:f>IF(A42="","",COUNTIFS('Kontrol Kayıtları'!$A$9:$A$208,"&gt;="&amp;A42,'Kontrol Kayıtları'!$A$9:$A$208,"&lt;="&amp;B42,'Kontrol Kayıtları'!$R$9:$R$208,"EKSİKLERİ TAMAMLA"))</x:f>
      </x:c>
      <x:c r="F42" s="38" t="str">
        <x:f>IF(A42="","",COUNTIFS('Kontrol Kayıtları'!$A$9:$A$208,"&gt;="&amp;A42,'Kontrol Kayıtları'!$A$9:$A$208,"&lt;="&amp;B42,'Kontrol Kayıtları'!$R$9:$R$208,"BAŞLATMA"))</x:f>
      </x:c>
      <x:c r="G42" s="94" t="n">
        <x:f>IFERROR(SUMIFS('Kontrol Kayıtları'!$Q$9:$Q$208,'Kontrol Kayıtları'!$A$9:$A$208,"&gt;="&amp;A42,'Kontrol Kayıtları'!$A$9:$A$208,"&lt;="&amp;B42)/C42,0)</x:f>
        <x:v>0</x:v>
      </x:c>
      <x:c r="H42" s="38" t="str">
        <x:f>IF(A42="","",COUNTIFS('Kontrol Kayıtları'!$A$9:$A$208,"&gt;="&amp;A42,'Kontrol Kayıtları'!$A$9:$A$208,"&lt;="&amp;B42,'Kontrol Kayıtları'!$S$9:$S$208,"Düşük"))</x:f>
      </x:c>
      <x:c r="I42" s="38" t="str">
        <x:f>IF(A42="","",COUNTIFS('Kontrol Kayıtları'!$A$9:$A$208,"&gt;="&amp;A42,'Kontrol Kayıtları'!$A$9:$A$208,"&lt;="&amp;B42,'Kontrol Kayıtları'!$S$9:$S$208,"Orta"))</x:f>
      </x:c>
      <x:c r="J42" s="38" t="str">
        <x:f>IF(A42="","",COUNTIFS('Kontrol Kayıtları'!$A$9:$A$208,"&gt;="&amp;A42,'Kontrol Kayıtları'!$A$9:$A$208,"&lt;="&amp;B42,'Kontrol Kayıtları'!$S$9:$S$208,"Yüksek"))</x:f>
      </x:c>
      <x:c r="K42" s="38" t="str">
        <x:f>IF(A42="","",COUNTIFS('Kontrol Kayıtları'!$A$9:$A$208,"&gt;="&amp;A42,'Kontrol Kayıtları'!$A$9:$A$208,"&lt;="&amp;B42,'Kontrol Kayıtları'!$S$9:$S$208,"Kritik"))</x:f>
      </x:c>
      <x:c r="L42" s="38"/>
    </x:row>
    <x:row r="43">
      <x:c r="A43" s="106"/>
      <x:c r="B43" s="106" t="str">
        <x:f>IF(A43="","",A43+6)</x:f>
      </x:c>
      <x:c r="C43" s="33" t="str">
        <x:f>IF(A43="","",COUNTIFS('Kontrol Kayıtları'!$A$9:$A$208,"&gt;="&amp;A43,'Kontrol Kayıtları'!$A$9:$A$208,"&lt;="&amp;B43))</x:f>
      </x:c>
      <x:c r="D43" s="33" t="str">
        <x:f>IF(A43="","",COUNTIFS('Kontrol Kayıtları'!$A$9:$A$208,"&gt;="&amp;A43,'Kontrol Kayıtları'!$A$9:$A$208,"&lt;="&amp;B43,'Kontrol Kayıtları'!$R$9:$R$208,"PROSES BAŞLATILABİLİR"))</x:f>
      </x:c>
      <x:c r="E43" s="33" t="str">
        <x:f>IF(A43="","",COUNTIFS('Kontrol Kayıtları'!$A$9:$A$208,"&gt;="&amp;A43,'Kontrol Kayıtları'!$A$9:$A$208,"&lt;="&amp;B43,'Kontrol Kayıtları'!$R$9:$R$208,"EKSİKLERİ TAMAMLA"))</x:f>
      </x:c>
      <x:c r="F43" s="33" t="str">
        <x:f>IF(A43="","",COUNTIFS('Kontrol Kayıtları'!$A$9:$A$208,"&gt;="&amp;A43,'Kontrol Kayıtları'!$A$9:$A$208,"&lt;="&amp;B43,'Kontrol Kayıtları'!$R$9:$R$208,"BAŞLATMA"))</x:f>
      </x:c>
      <x:c r="G43" s="108" t="n">
        <x:f>IFERROR(SUMIFS('Kontrol Kayıtları'!$Q$9:$Q$208,'Kontrol Kayıtları'!$A$9:$A$208,"&gt;="&amp;A43,'Kontrol Kayıtları'!$A$9:$A$208,"&lt;="&amp;B43)/C43,0)</x:f>
        <x:v>0</x:v>
      </x:c>
      <x:c r="H43" s="33" t="str">
        <x:f>IF(A43="","",COUNTIFS('Kontrol Kayıtları'!$A$9:$A$208,"&gt;="&amp;A43,'Kontrol Kayıtları'!$A$9:$A$208,"&lt;="&amp;B43,'Kontrol Kayıtları'!$S$9:$S$208,"Düşük"))</x:f>
      </x:c>
      <x:c r="I43" s="33" t="str">
        <x:f>IF(A43="","",COUNTIFS('Kontrol Kayıtları'!$A$9:$A$208,"&gt;="&amp;A43,'Kontrol Kayıtları'!$A$9:$A$208,"&lt;="&amp;B43,'Kontrol Kayıtları'!$S$9:$S$208,"Orta"))</x:f>
      </x:c>
      <x:c r="J43" s="33" t="str">
        <x:f>IF(A43="","",COUNTIFS('Kontrol Kayıtları'!$A$9:$A$208,"&gt;="&amp;A43,'Kontrol Kayıtları'!$A$9:$A$208,"&lt;="&amp;B43,'Kontrol Kayıtları'!$S$9:$S$208,"Yüksek"))</x:f>
      </x:c>
      <x:c r="K43" s="33" t="str">
        <x:f>IF(A43="","",COUNTIFS('Kontrol Kayıtları'!$A$9:$A$208,"&gt;="&amp;A43,'Kontrol Kayıtları'!$A$9:$A$208,"&lt;="&amp;B43,'Kontrol Kayıtları'!$S$9:$S$208,"Kritik"))</x:f>
      </x:c>
      <x:c r="L43" s="33"/>
    </x:row>
    <x:row r="44">
      <x:c r="A44" s="92"/>
      <x:c r="B44" s="92" t="str">
        <x:f>IF(A44="","",A44+6)</x:f>
      </x:c>
      <x:c r="C44" s="38" t="str">
        <x:f>IF(A44="","",COUNTIFS('Kontrol Kayıtları'!$A$9:$A$208,"&gt;="&amp;A44,'Kontrol Kayıtları'!$A$9:$A$208,"&lt;="&amp;B44))</x:f>
      </x:c>
      <x:c r="D44" s="38" t="str">
        <x:f>IF(A44="","",COUNTIFS('Kontrol Kayıtları'!$A$9:$A$208,"&gt;="&amp;A44,'Kontrol Kayıtları'!$A$9:$A$208,"&lt;="&amp;B44,'Kontrol Kayıtları'!$R$9:$R$208,"PROSES BAŞLATILABİLİR"))</x:f>
      </x:c>
      <x:c r="E44" s="38" t="str">
        <x:f>IF(A44="","",COUNTIFS('Kontrol Kayıtları'!$A$9:$A$208,"&gt;="&amp;A44,'Kontrol Kayıtları'!$A$9:$A$208,"&lt;="&amp;B44,'Kontrol Kayıtları'!$R$9:$R$208,"EKSİKLERİ TAMAMLA"))</x:f>
      </x:c>
      <x:c r="F44" s="38" t="str">
        <x:f>IF(A44="","",COUNTIFS('Kontrol Kayıtları'!$A$9:$A$208,"&gt;="&amp;A44,'Kontrol Kayıtları'!$A$9:$A$208,"&lt;="&amp;B44,'Kontrol Kayıtları'!$R$9:$R$208,"BAŞLATMA"))</x:f>
      </x:c>
      <x:c r="G44" s="94" t="n">
        <x:f>IFERROR(SUMIFS('Kontrol Kayıtları'!$Q$9:$Q$208,'Kontrol Kayıtları'!$A$9:$A$208,"&gt;="&amp;A44,'Kontrol Kayıtları'!$A$9:$A$208,"&lt;="&amp;B44)/C44,0)</x:f>
        <x:v>0</x:v>
      </x:c>
      <x:c r="H44" s="38" t="str">
        <x:f>IF(A44="","",COUNTIFS('Kontrol Kayıtları'!$A$9:$A$208,"&gt;="&amp;A44,'Kontrol Kayıtları'!$A$9:$A$208,"&lt;="&amp;B44,'Kontrol Kayıtları'!$S$9:$S$208,"Düşük"))</x:f>
      </x:c>
      <x:c r="I44" s="38" t="str">
        <x:f>IF(A44="","",COUNTIFS('Kontrol Kayıtları'!$A$9:$A$208,"&gt;="&amp;A44,'Kontrol Kayıtları'!$A$9:$A$208,"&lt;="&amp;B44,'Kontrol Kayıtları'!$S$9:$S$208,"Orta"))</x:f>
      </x:c>
      <x:c r="J44" s="38" t="str">
        <x:f>IF(A44="","",COUNTIFS('Kontrol Kayıtları'!$A$9:$A$208,"&gt;="&amp;A44,'Kontrol Kayıtları'!$A$9:$A$208,"&lt;="&amp;B44,'Kontrol Kayıtları'!$S$9:$S$208,"Yüksek"))</x:f>
      </x:c>
      <x:c r="K44" s="38" t="str">
        <x:f>IF(A44="","",COUNTIFS('Kontrol Kayıtları'!$A$9:$A$208,"&gt;="&amp;A44,'Kontrol Kayıtları'!$A$9:$A$208,"&lt;="&amp;B44,'Kontrol Kayıtları'!$S$9:$S$208,"Kritik"))</x:f>
      </x:c>
      <x:c r="L44" s="38"/>
    </x:row>
    <x:row r="45">
      <x:c r="A45" s="106"/>
      <x:c r="B45" s="106" t="str">
        <x:f>IF(A45="","",A45+6)</x:f>
      </x:c>
      <x:c r="C45" s="33" t="str">
        <x:f>IF(A45="","",COUNTIFS('Kontrol Kayıtları'!$A$9:$A$208,"&gt;="&amp;A45,'Kontrol Kayıtları'!$A$9:$A$208,"&lt;="&amp;B45))</x:f>
      </x:c>
      <x:c r="D45" s="33" t="str">
        <x:f>IF(A45="","",COUNTIFS('Kontrol Kayıtları'!$A$9:$A$208,"&gt;="&amp;A45,'Kontrol Kayıtları'!$A$9:$A$208,"&lt;="&amp;B45,'Kontrol Kayıtları'!$R$9:$R$208,"PROSES BAŞLATILABİLİR"))</x:f>
      </x:c>
      <x:c r="E45" s="33" t="str">
        <x:f>IF(A45="","",COUNTIFS('Kontrol Kayıtları'!$A$9:$A$208,"&gt;="&amp;A45,'Kontrol Kayıtları'!$A$9:$A$208,"&lt;="&amp;B45,'Kontrol Kayıtları'!$R$9:$R$208,"EKSİKLERİ TAMAMLA"))</x:f>
      </x:c>
      <x:c r="F45" s="33" t="str">
        <x:f>IF(A45="","",COUNTIFS('Kontrol Kayıtları'!$A$9:$A$208,"&gt;="&amp;A45,'Kontrol Kayıtları'!$A$9:$A$208,"&lt;="&amp;B45,'Kontrol Kayıtları'!$R$9:$R$208,"BAŞLATMA"))</x:f>
      </x:c>
      <x:c r="G45" s="108" t="n">
        <x:f>IFERROR(SUMIFS('Kontrol Kayıtları'!$Q$9:$Q$208,'Kontrol Kayıtları'!$A$9:$A$208,"&gt;="&amp;A45,'Kontrol Kayıtları'!$A$9:$A$208,"&lt;="&amp;B45)/C45,0)</x:f>
        <x:v>0</x:v>
      </x:c>
      <x:c r="H45" s="33" t="str">
        <x:f>IF(A45="","",COUNTIFS('Kontrol Kayıtları'!$A$9:$A$208,"&gt;="&amp;A45,'Kontrol Kayıtları'!$A$9:$A$208,"&lt;="&amp;B45,'Kontrol Kayıtları'!$S$9:$S$208,"Düşük"))</x:f>
      </x:c>
      <x:c r="I45" s="33" t="str">
        <x:f>IF(A45="","",COUNTIFS('Kontrol Kayıtları'!$A$9:$A$208,"&gt;="&amp;A45,'Kontrol Kayıtları'!$A$9:$A$208,"&lt;="&amp;B45,'Kontrol Kayıtları'!$S$9:$S$208,"Orta"))</x:f>
      </x:c>
      <x:c r="J45" s="33" t="str">
        <x:f>IF(A45="","",COUNTIFS('Kontrol Kayıtları'!$A$9:$A$208,"&gt;="&amp;A45,'Kontrol Kayıtları'!$A$9:$A$208,"&lt;="&amp;B45,'Kontrol Kayıtları'!$S$9:$S$208,"Yüksek"))</x:f>
      </x:c>
      <x:c r="K45" s="33" t="str">
        <x:f>IF(A45="","",COUNTIFS('Kontrol Kayıtları'!$A$9:$A$208,"&gt;="&amp;A45,'Kontrol Kayıtları'!$A$9:$A$208,"&lt;="&amp;B45,'Kontrol Kayıtları'!$S$9:$S$208,"Kritik"))</x:f>
      </x:c>
      <x:c r="L45" s="33"/>
    </x:row>
    <x:row r="46">
      <x:c r="A46" s="92"/>
      <x:c r="B46" s="92" t="str">
        <x:f>IF(A46="","",A46+6)</x:f>
      </x:c>
      <x:c r="C46" s="38" t="str">
        <x:f>IF(A46="","",COUNTIFS('Kontrol Kayıtları'!$A$9:$A$208,"&gt;="&amp;A46,'Kontrol Kayıtları'!$A$9:$A$208,"&lt;="&amp;B46))</x:f>
      </x:c>
      <x:c r="D46" s="38" t="str">
        <x:f>IF(A46="","",COUNTIFS('Kontrol Kayıtları'!$A$9:$A$208,"&gt;="&amp;A46,'Kontrol Kayıtları'!$A$9:$A$208,"&lt;="&amp;B46,'Kontrol Kayıtları'!$R$9:$R$208,"PROSES BAŞLATILABİLİR"))</x:f>
      </x:c>
      <x:c r="E46" s="38" t="str">
        <x:f>IF(A46="","",COUNTIFS('Kontrol Kayıtları'!$A$9:$A$208,"&gt;="&amp;A46,'Kontrol Kayıtları'!$A$9:$A$208,"&lt;="&amp;B46,'Kontrol Kayıtları'!$R$9:$R$208,"EKSİKLERİ TAMAMLA"))</x:f>
      </x:c>
      <x:c r="F46" s="38" t="str">
        <x:f>IF(A46="","",COUNTIFS('Kontrol Kayıtları'!$A$9:$A$208,"&gt;="&amp;A46,'Kontrol Kayıtları'!$A$9:$A$208,"&lt;="&amp;B46,'Kontrol Kayıtları'!$R$9:$R$208,"BAŞLATMA"))</x:f>
      </x:c>
      <x:c r="G46" s="94" t="n">
        <x:f>IFERROR(SUMIFS('Kontrol Kayıtları'!$Q$9:$Q$208,'Kontrol Kayıtları'!$A$9:$A$208,"&gt;="&amp;A46,'Kontrol Kayıtları'!$A$9:$A$208,"&lt;="&amp;B46)/C46,0)</x:f>
        <x:v>0</x:v>
      </x:c>
      <x:c r="H46" s="38" t="str">
        <x:f>IF(A46="","",COUNTIFS('Kontrol Kayıtları'!$A$9:$A$208,"&gt;="&amp;A46,'Kontrol Kayıtları'!$A$9:$A$208,"&lt;="&amp;B46,'Kontrol Kayıtları'!$S$9:$S$208,"Düşük"))</x:f>
      </x:c>
      <x:c r="I46" s="38" t="str">
        <x:f>IF(A46="","",COUNTIFS('Kontrol Kayıtları'!$A$9:$A$208,"&gt;="&amp;A46,'Kontrol Kayıtları'!$A$9:$A$208,"&lt;="&amp;B46,'Kontrol Kayıtları'!$S$9:$S$208,"Orta"))</x:f>
      </x:c>
      <x:c r="J46" s="38" t="str">
        <x:f>IF(A46="","",COUNTIFS('Kontrol Kayıtları'!$A$9:$A$208,"&gt;="&amp;A46,'Kontrol Kayıtları'!$A$9:$A$208,"&lt;="&amp;B46,'Kontrol Kayıtları'!$S$9:$S$208,"Yüksek"))</x:f>
      </x:c>
      <x:c r="K46" s="38" t="str">
        <x:f>IF(A46="","",COUNTIFS('Kontrol Kayıtları'!$A$9:$A$208,"&gt;="&amp;A46,'Kontrol Kayıtları'!$A$9:$A$208,"&lt;="&amp;B46,'Kontrol Kayıtları'!$S$9:$S$208,"Kritik"))</x:f>
      </x:c>
      <x:c r="L46" s="38"/>
    </x:row>
    <x:row r="47">
      <x:c r="A47" s="106"/>
      <x:c r="B47" s="106" t="str">
        <x:f>IF(A47="","",A47+6)</x:f>
      </x:c>
      <x:c r="C47" s="33" t="str">
        <x:f>IF(A47="","",COUNTIFS('Kontrol Kayıtları'!$A$9:$A$208,"&gt;="&amp;A47,'Kontrol Kayıtları'!$A$9:$A$208,"&lt;="&amp;B47))</x:f>
      </x:c>
      <x:c r="D47" s="33" t="str">
        <x:f>IF(A47="","",COUNTIFS('Kontrol Kayıtları'!$A$9:$A$208,"&gt;="&amp;A47,'Kontrol Kayıtları'!$A$9:$A$208,"&lt;="&amp;B47,'Kontrol Kayıtları'!$R$9:$R$208,"PROSES BAŞLATILABİLİR"))</x:f>
      </x:c>
      <x:c r="E47" s="33" t="str">
        <x:f>IF(A47="","",COUNTIFS('Kontrol Kayıtları'!$A$9:$A$208,"&gt;="&amp;A47,'Kontrol Kayıtları'!$A$9:$A$208,"&lt;="&amp;B47,'Kontrol Kayıtları'!$R$9:$R$208,"EKSİKLERİ TAMAMLA"))</x:f>
      </x:c>
      <x:c r="F47" s="33" t="str">
        <x:f>IF(A47="","",COUNTIFS('Kontrol Kayıtları'!$A$9:$A$208,"&gt;="&amp;A47,'Kontrol Kayıtları'!$A$9:$A$208,"&lt;="&amp;B47,'Kontrol Kayıtları'!$R$9:$R$208,"BAŞLATMA"))</x:f>
      </x:c>
      <x:c r="G47" s="108" t="n">
        <x:f>IFERROR(SUMIFS('Kontrol Kayıtları'!$Q$9:$Q$208,'Kontrol Kayıtları'!$A$9:$A$208,"&gt;="&amp;A47,'Kontrol Kayıtları'!$A$9:$A$208,"&lt;="&amp;B47)/C47,0)</x:f>
        <x:v>0</x:v>
      </x:c>
      <x:c r="H47" s="33" t="str">
        <x:f>IF(A47="","",COUNTIFS('Kontrol Kayıtları'!$A$9:$A$208,"&gt;="&amp;A47,'Kontrol Kayıtları'!$A$9:$A$208,"&lt;="&amp;B47,'Kontrol Kayıtları'!$S$9:$S$208,"Düşük"))</x:f>
      </x:c>
      <x:c r="I47" s="33" t="str">
        <x:f>IF(A47="","",COUNTIFS('Kontrol Kayıtları'!$A$9:$A$208,"&gt;="&amp;A47,'Kontrol Kayıtları'!$A$9:$A$208,"&lt;="&amp;B47,'Kontrol Kayıtları'!$S$9:$S$208,"Orta"))</x:f>
      </x:c>
      <x:c r="J47" s="33" t="str">
        <x:f>IF(A47="","",COUNTIFS('Kontrol Kayıtları'!$A$9:$A$208,"&gt;="&amp;A47,'Kontrol Kayıtları'!$A$9:$A$208,"&lt;="&amp;B47,'Kontrol Kayıtları'!$S$9:$S$208,"Yüksek"))</x:f>
      </x:c>
      <x:c r="K47" s="33" t="str">
        <x:f>IF(A47="","",COUNTIFS('Kontrol Kayıtları'!$A$9:$A$208,"&gt;="&amp;A47,'Kontrol Kayıtları'!$A$9:$A$208,"&lt;="&amp;B47,'Kontrol Kayıtları'!$S$9:$S$208,"Kritik"))</x:f>
      </x:c>
      <x:c r="L47" s="33"/>
    </x:row>
    <x:row r="48">
      <x:c r="A48" s="92"/>
      <x:c r="B48" s="92" t="str">
        <x:f>IF(A48="","",A48+6)</x:f>
      </x:c>
      <x:c r="C48" s="38" t="str">
        <x:f>IF(A48="","",COUNTIFS('Kontrol Kayıtları'!$A$9:$A$208,"&gt;="&amp;A48,'Kontrol Kayıtları'!$A$9:$A$208,"&lt;="&amp;B48))</x:f>
      </x:c>
      <x:c r="D48" s="38" t="str">
        <x:f>IF(A48="","",COUNTIFS('Kontrol Kayıtları'!$A$9:$A$208,"&gt;="&amp;A48,'Kontrol Kayıtları'!$A$9:$A$208,"&lt;="&amp;B48,'Kontrol Kayıtları'!$R$9:$R$208,"PROSES BAŞLATILABİLİR"))</x:f>
      </x:c>
      <x:c r="E48" s="38" t="str">
        <x:f>IF(A48="","",COUNTIFS('Kontrol Kayıtları'!$A$9:$A$208,"&gt;="&amp;A48,'Kontrol Kayıtları'!$A$9:$A$208,"&lt;="&amp;B48,'Kontrol Kayıtları'!$R$9:$R$208,"EKSİKLERİ TAMAMLA"))</x:f>
      </x:c>
      <x:c r="F48" s="38" t="str">
        <x:f>IF(A48="","",COUNTIFS('Kontrol Kayıtları'!$A$9:$A$208,"&gt;="&amp;A48,'Kontrol Kayıtları'!$A$9:$A$208,"&lt;="&amp;B48,'Kontrol Kayıtları'!$R$9:$R$208,"BAŞLATMA"))</x:f>
      </x:c>
      <x:c r="G48" s="94" t="n">
        <x:f>IFERROR(SUMIFS('Kontrol Kayıtları'!$Q$9:$Q$208,'Kontrol Kayıtları'!$A$9:$A$208,"&gt;="&amp;A48,'Kontrol Kayıtları'!$A$9:$A$208,"&lt;="&amp;B48)/C48,0)</x:f>
        <x:v>0</x:v>
      </x:c>
      <x:c r="H48" s="38" t="str">
        <x:f>IF(A48="","",COUNTIFS('Kontrol Kayıtları'!$A$9:$A$208,"&gt;="&amp;A48,'Kontrol Kayıtları'!$A$9:$A$208,"&lt;="&amp;B48,'Kontrol Kayıtları'!$S$9:$S$208,"Düşük"))</x:f>
      </x:c>
      <x:c r="I48" s="38" t="str">
        <x:f>IF(A48="","",COUNTIFS('Kontrol Kayıtları'!$A$9:$A$208,"&gt;="&amp;A48,'Kontrol Kayıtları'!$A$9:$A$208,"&lt;="&amp;B48,'Kontrol Kayıtları'!$S$9:$S$208,"Orta"))</x:f>
      </x:c>
      <x:c r="J48" s="38" t="str">
        <x:f>IF(A48="","",COUNTIFS('Kontrol Kayıtları'!$A$9:$A$208,"&gt;="&amp;A48,'Kontrol Kayıtları'!$A$9:$A$208,"&lt;="&amp;B48,'Kontrol Kayıtları'!$S$9:$S$208,"Yüksek"))</x:f>
      </x:c>
      <x:c r="K48" s="38" t="str">
        <x:f>IF(A48="","",COUNTIFS('Kontrol Kayıtları'!$A$9:$A$208,"&gt;="&amp;A48,'Kontrol Kayıtları'!$A$9:$A$208,"&lt;="&amp;B48,'Kontrol Kayıtları'!$S$9:$S$208,"Kritik"))</x:f>
      </x:c>
      <x:c r="L48" s="38"/>
    </x:row>
    <x:row r="49">
      <x:c r="A49" s="106"/>
      <x:c r="B49" s="106" t="str">
        <x:f>IF(A49="","",A49+6)</x:f>
      </x:c>
      <x:c r="C49" s="33" t="str">
        <x:f>IF(A49="","",COUNTIFS('Kontrol Kayıtları'!$A$9:$A$208,"&gt;="&amp;A49,'Kontrol Kayıtları'!$A$9:$A$208,"&lt;="&amp;B49))</x:f>
      </x:c>
      <x:c r="D49" s="33" t="str">
        <x:f>IF(A49="","",COUNTIFS('Kontrol Kayıtları'!$A$9:$A$208,"&gt;="&amp;A49,'Kontrol Kayıtları'!$A$9:$A$208,"&lt;="&amp;B49,'Kontrol Kayıtları'!$R$9:$R$208,"PROSES BAŞLATILABİLİR"))</x:f>
      </x:c>
      <x:c r="E49" s="33" t="str">
        <x:f>IF(A49="","",COUNTIFS('Kontrol Kayıtları'!$A$9:$A$208,"&gt;="&amp;A49,'Kontrol Kayıtları'!$A$9:$A$208,"&lt;="&amp;B49,'Kontrol Kayıtları'!$R$9:$R$208,"EKSİKLERİ TAMAMLA"))</x:f>
      </x:c>
      <x:c r="F49" s="33" t="str">
        <x:f>IF(A49="","",COUNTIFS('Kontrol Kayıtları'!$A$9:$A$208,"&gt;="&amp;A49,'Kontrol Kayıtları'!$A$9:$A$208,"&lt;="&amp;B49,'Kontrol Kayıtları'!$R$9:$R$208,"BAŞLATMA"))</x:f>
      </x:c>
      <x:c r="G49" s="108" t="n">
        <x:f>IFERROR(SUMIFS('Kontrol Kayıtları'!$Q$9:$Q$208,'Kontrol Kayıtları'!$A$9:$A$208,"&gt;="&amp;A49,'Kontrol Kayıtları'!$A$9:$A$208,"&lt;="&amp;B49)/C49,0)</x:f>
        <x:v>0</x:v>
      </x:c>
      <x:c r="H49" s="33" t="str">
        <x:f>IF(A49="","",COUNTIFS('Kontrol Kayıtları'!$A$9:$A$208,"&gt;="&amp;A49,'Kontrol Kayıtları'!$A$9:$A$208,"&lt;="&amp;B49,'Kontrol Kayıtları'!$S$9:$S$208,"Düşük"))</x:f>
      </x:c>
      <x:c r="I49" s="33" t="str">
        <x:f>IF(A49="","",COUNTIFS('Kontrol Kayıtları'!$A$9:$A$208,"&gt;="&amp;A49,'Kontrol Kayıtları'!$A$9:$A$208,"&lt;="&amp;B49,'Kontrol Kayıtları'!$S$9:$S$208,"Orta"))</x:f>
      </x:c>
      <x:c r="J49" s="33" t="str">
        <x:f>IF(A49="","",COUNTIFS('Kontrol Kayıtları'!$A$9:$A$208,"&gt;="&amp;A49,'Kontrol Kayıtları'!$A$9:$A$208,"&lt;="&amp;B49,'Kontrol Kayıtları'!$S$9:$S$208,"Yüksek"))</x:f>
      </x:c>
      <x:c r="K49" s="33" t="str">
        <x:f>IF(A49="","",COUNTIFS('Kontrol Kayıtları'!$A$9:$A$208,"&gt;="&amp;A49,'Kontrol Kayıtları'!$A$9:$A$208,"&lt;="&amp;B49,'Kontrol Kayıtları'!$S$9:$S$208,"Kritik"))</x:f>
      </x:c>
      <x:c r="L49" s="33"/>
    </x:row>
    <x:row r="50">
      <x:c r="A50" s="92"/>
      <x:c r="B50" s="92" t="str">
        <x:f>IF(A50="","",A50+6)</x:f>
      </x:c>
      <x:c r="C50" s="38" t="str">
        <x:f>IF(A50="","",COUNTIFS('Kontrol Kayıtları'!$A$9:$A$208,"&gt;="&amp;A50,'Kontrol Kayıtları'!$A$9:$A$208,"&lt;="&amp;B50))</x:f>
      </x:c>
      <x:c r="D50" s="38" t="str">
        <x:f>IF(A50="","",COUNTIFS('Kontrol Kayıtları'!$A$9:$A$208,"&gt;="&amp;A50,'Kontrol Kayıtları'!$A$9:$A$208,"&lt;="&amp;B50,'Kontrol Kayıtları'!$R$9:$R$208,"PROSES BAŞLATILABİLİR"))</x:f>
      </x:c>
      <x:c r="E50" s="38" t="str">
        <x:f>IF(A50="","",COUNTIFS('Kontrol Kayıtları'!$A$9:$A$208,"&gt;="&amp;A50,'Kontrol Kayıtları'!$A$9:$A$208,"&lt;="&amp;B50,'Kontrol Kayıtları'!$R$9:$R$208,"EKSİKLERİ TAMAMLA"))</x:f>
      </x:c>
      <x:c r="F50" s="38" t="str">
        <x:f>IF(A50="","",COUNTIFS('Kontrol Kayıtları'!$A$9:$A$208,"&gt;="&amp;A50,'Kontrol Kayıtları'!$A$9:$A$208,"&lt;="&amp;B50,'Kontrol Kayıtları'!$R$9:$R$208,"BAŞLATMA"))</x:f>
      </x:c>
      <x:c r="G50" s="94" t="n">
        <x:f>IFERROR(SUMIFS('Kontrol Kayıtları'!$Q$9:$Q$208,'Kontrol Kayıtları'!$A$9:$A$208,"&gt;="&amp;A50,'Kontrol Kayıtları'!$A$9:$A$208,"&lt;="&amp;B50)/C50,0)</x:f>
        <x:v>0</x:v>
      </x:c>
      <x:c r="H50" s="38" t="str">
        <x:f>IF(A50="","",COUNTIFS('Kontrol Kayıtları'!$A$9:$A$208,"&gt;="&amp;A50,'Kontrol Kayıtları'!$A$9:$A$208,"&lt;="&amp;B50,'Kontrol Kayıtları'!$S$9:$S$208,"Düşük"))</x:f>
      </x:c>
      <x:c r="I50" s="38" t="str">
        <x:f>IF(A50="","",COUNTIFS('Kontrol Kayıtları'!$A$9:$A$208,"&gt;="&amp;A50,'Kontrol Kayıtları'!$A$9:$A$208,"&lt;="&amp;B50,'Kontrol Kayıtları'!$S$9:$S$208,"Orta"))</x:f>
      </x:c>
      <x:c r="J50" s="38" t="str">
        <x:f>IF(A50="","",COUNTIFS('Kontrol Kayıtları'!$A$9:$A$208,"&gt;="&amp;A50,'Kontrol Kayıtları'!$A$9:$A$208,"&lt;="&amp;B50,'Kontrol Kayıtları'!$S$9:$S$208,"Yüksek"))</x:f>
      </x:c>
      <x:c r="K50" s="38" t="str">
        <x:f>IF(A50="","",COUNTIFS('Kontrol Kayıtları'!$A$9:$A$208,"&gt;="&amp;A50,'Kontrol Kayıtları'!$A$9:$A$208,"&lt;="&amp;B50,'Kontrol Kayıtları'!$S$9:$S$208,"Kritik"))</x:f>
      </x:c>
      <x:c r="L50" s="38"/>
    </x:row>
    <x:row r="51">
      <x:c r="A51" s="106"/>
      <x:c r="B51" s="106" t="str">
        <x:f>IF(A51="","",A51+6)</x:f>
      </x:c>
      <x:c r="C51" s="33" t="str">
        <x:f>IF(A51="","",COUNTIFS('Kontrol Kayıtları'!$A$9:$A$208,"&gt;="&amp;A51,'Kontrol Kayıtları'!$A$9:$A$208,"&lt;="&amp;B51))</x:f>
      </x:c>
      <x:c r="D51" s="33" t="str">
        <x:f>IF(A51="","",COUNTIFS('Kontrol Kayıtları'!$A$9:$A$208,"&gt;="&amp;A51,'Kontrol Kayıtları'!$A$9:$A$208,"&lt;="&amp;B51,'Kontrol Kayıtları'!$R$9:$R$208,"PROSES BAŞLATILABİLİR"))</x:f>
      </x:c>
      <x:c r="E51" s="33" t="str">
        <x:f>IF(A51="","",COUNTIFS('Kontrol Kayıtları'!$A$9:$A$208,"&gt;="&amp;A51,'Kontrol Kayıtları'!$A$9:$A$208,"&lt;="&amp;B51,'Kontrol Kayıtları'!$R$9:$R$208,"EKSİKLERİ TAMAMLA"))</x:f>
      </x:c>
      <x:c r="F51" s="33" t="str">
        <x:f>IF(A51="","",COUNTIFS('Kontrol Kayıtları'!$A$9:$A$208,"&gt;="&amp;A51,'Kontrol Kayıtları'!$A$9:$A$208,"&lt;="&amp;B51,'Kontrol Kayıtları'!$R$9:$R$208,"BAŞLATMA"))</x:f>
      </x:c>
      <x:c r="G51" s="108" t="n">
        <x:f>IFERROR(SUMIFS('Kontrol Kayıtları'!$Q$9:$Q$208,'Kontrol Kayıtları'!$A$9:$A$208,"&gt;="&amp;A51,'Kontrol Kayıtları'!$A$9:$A$208,"&lt;="&amp;B51)/C51,0)</x:f>
        <x:v>0</x:v>
      </x:c>
      <x:c r="H51" s="33" t="str">
        <x:f>IF(A51="","",COUNTIFS('Kontrol Kayıtları'!$A$9:$A$208,"&gt;="&amp;A51,'Kontrol Kayıtları'!$A$9:$A$208,"&lt;="&amp;B51,'Kontrol Kayıtları'!$S$9:$S$208,"Düşük"))</x:f>
      </x:c>
      <x:c r="I51" s="33" t="str">
        <x:f>IF(A51="","",COUNTIFS('Kontrol Kayıtları'!$A$9:$A$208,"&gt;="&amp;A51,'Kontrol Kayıtları'!$A$9:$A$208,"&lt;="&amp;B51,'Kontrol Kayıtları'!$S$9:$S$208,"Orta"))</x:f>
      </x:c>
      <x:c r="J51" s="33" t="str">
        <x:f>IF(A51="","",COUNTIFS('Kontrol Kayıtları'!$A$9:$A$208,"&gt;="&amp;A51,'Kontrol Kayıtları'!$A$9:$A$208,"&lt;="&amp;B51,'Kontrol Kayıtları'!$S$9:$S$208,"Yüksek"))</x:f>
      </x:c>
      <x:c r="K51" s="33" t="str">
        <x:f>IF(A51="","",COUNTIFS('Kontrol Kayıtları'!$A$9:$A$208,"&gt;="&amp;A51,'Kontrol Kayıtları'!$A$9:$A$208,"&lt;="&amp;B51,'Kontrol Kayıtları'!$S$9:$S$208,"Kritik"))</x:f>
      </x:c>
      <x:c r="L51" s="33"/>
    </x:row>
    <x:row r="52">
      <x:c r="A52" s="92"/>
      <x:c r="B52" s="92" t="str">
        <x:f>IF(A52="","",A52+6)</x:f>
      </x:c>
      <x:c r="C52" s="38" t="str">
        <x:f>IF(A52="","",COUNTIFS('Kontrol Kayıtları'!$A$9:$A$208,"&gt;="&amp;A52,'Kontrol Kayıtları'!$A$9:$A$208,"&lt;="&amp;B52))</x:f>
      </x:c>
      <x:c r="D52" s="38" t="str">
        <x:f>IF(A52="","",COUNTIFS('Kontrol Kayıtları'!$A$9:$A$208,"&gt;="&amp;A52,'Kontrol Kayıtları'!$A$9:$A$208,"&lt;="&amp;B52,'Kontrol Kayıtları'!$R$9:$R$208,"PROSES BAŞLATILABİLİR"))</x:f>
      </x:c>
      <x:c r="E52" s="38" t="str">
        <x:f>IF(A52="","",COUNTIFS('Kontrol Kayıtları'!$A$9:$A$208,"&gt;="&amp;A52,'Kontrol Kayıtları'!$A$9:$A$208,"&lt;="&amp;B52,'Kontrol Kayıtları'!$R$9:$R$208,"EKSİKLERİ TAMAMLA"))</x:f>
      </x:c>
      <x:c r="F52" s="38" t="str">
        <x:f>IF(A52="","",COUNTIFS('Kontrol Kayıtları'!$A$9:$A$208,"&gt;="&amp;A52,'Kontrol Kayıtları'!$A$9:$A$208,"&lt;="&amp;B52,'Kontrol Kayıtları'!$R$9:$R$208,"BAŞLATMA"))</x:f>
      </x:c>
      <x:c r="G52" s="94" t="n">
        <x:f>IFERROR(SUMIFS('Kontrol Kayıtları'!$Q$9:$Q$208,'Kontrol Kayıtları'!$A$9:$A$208,"&gt;="&amp;A52,'Kontrol Kayıtları'!$A$9:$A$208,"&lt;="&amp;B52)/C52,0)</x:f>
        <x:v>0</x:v>
      </x:c>
      <x:c r="H52" s="38" t="str">
        <x:f>IF(A52="","",COUNTIFS('Kontrol Kayıtları'!$A$9:$A$208,"&gt;="&amp;A52,'Kontrol Kayıtları'!$A$9:$A$208,"&lt;="&amp;B52,'Kontrol Kayıtları'!$S$9:$S$208,"Düşük"))</x:f>
      </x:c>
      <x:c r="I52" s="38" t="str">
        <x:f>IF(A52="","",COUNTIFS('Kontrol Kayıtları'!$A$9:$A$208,"&gt;="&amp;A52,'Kontrol Kayıtları'!$A$9:$A$208,"&lt;="&amp;B52,'Kontrol Kayıtları'!$S$9:$S$208,"Orta"))</x:f>
      </x:c>
      <x:c r="J52" s="38" t="str">
        <x:f>IF(A52="","",COUNTIFS('Kontrol Kayıtları'!$A$9:$A$208,"&gt;="&amp;A52,'Kontrol Kayıtları'!$A$9:$A$208,"&lt;="&amp;B52,'Kontrol Kayıtları'!$S$9:$S$208,"Yüksek"))</x:f>
      </x:c>
      <x:c r="K52" s="38" t="str">
        <x:f>IF(A52="","",COUNTIFS('Kontrol Kayıtları'!$A$9:$A$208,"&gt;="&amp;A52,'Kontrol Kayıtları'!$A$9:$A$208,"&lt;="&amp;B52,'Kontrol Kayıtları'!$S$9:$S$208,"Kritik"))</x:f>
      </x:c>
      <x:c r="L52" s="38"/>
    </x:row>
    <x:row r="53">
      <x:c r="A53" s="106"/>
      <x:c r="B53" s="106" t="str">
        <x:f>IF(A53="","",A53+6)</x:f>
      </x:c>
      <x:c r="C53" s="33" t="str">
        <x:f>IF(A53="","",COUNTIFS('Kontrol Kayıtları'!$A$9:$A$208,"&gt;="&amp;A53,'Kontrol Kayıtları'!$A$9:$A$208,"&lt;="&amp;B53))</x:f>
      </x:c>
      <x:c r="D53" s="33" t="str">
        <x:f>IF(A53="","",COUNTIFS('Kontrol Kayıtları'!$A$9:$A$208,"&gt;="&amp;A53,'Kontrol Kayıtları'!$A$9:$A$208,"&lt;="&amp;B53,'Kontrol Kayıtları'!$R$9:$R$208,"PROSES BAŞLATILABİLİR"))</x:f>
      </x:c>
      <x:c r="E53" s="33" t="str">
        <x:f>IF(A53="","",COUNTIFS('Kontrol Kayıtları'!$A$9:$A$208,"&gt;="&amp;A53,'Kontrol Kayıtları'!$A$9:$A$208,"&lt;="&amp;B53,'Kontrol Kayıtları'!$R$9:$R$208,"EKSİKLERİ TAMAMLA"))</x:f>
      </x:c>
      <x:c r="F53" s="33" t="str">
        <x:f>IF(A53="","",COUNTIFS('Kontrol Kayıtları'!$A$9:$A$208,"&gt;="&amp;A53,'Kontrol Kayıtları'!$A$9:$A$208,"&lt;="&amp;B53,'Kontrol Kayıtları'!$R$9:$R$208,"BAŞLATMA"))</x:f>
      </x:c>
      <x:c r="G53" s="108" t="n">
        <x:f>IFERROR(SUMIFS('Kontrol Kayıtları'!$Q$9:$Q$208,'Kontrol Kayıtları'!$A$9:$A$208,"&gt;="&amp;A53,'Kontrol Kayıtları'!$A$9:$A$208,"&lt;="&amp;B53)/C53,0)</x:f>
        <x:v>0</x:v>
      </x:c>
      <x:c r="H53" s="33" t="str">
        <x:f>IF(A53="","",COUNTIFS('Kontrol Kayıtları'!$A$9:$A$208,"&gt;="&amp;A53,'Kontrol Kayıtları'!$A$9:$A$208,"&lt;="&amp;B53,'Kontrol Kayıtları'!$S$9:$S$208,"Düşük"))</x:f>
      </x:c>
      <x:c r="I53" s="33" t="str">
        <x:f>IF(A53="","",COUNTIFS('Kontrol Kayıtları'!$A$9:$A$208,"&gt;="&amp;A53,'Kontrol Kayıtları'!$A$9:$A$208,"&lt;="&amp;B53,'Kontrol Kayıtları'!$S$9:$S$208,"Orta"))</x:f>
      </x:c>
      <x:c r="J53" s="33" t="str">
        <x:f>IF(A53="","",COUNTIFS('Kontrol Kayıtları'!$A$9:$A$208,"&gt;="&amp;A53,'Kontrol Kayıtları'!$A$9:$A$208,"&lt;="&amp;B53,'Kontrol Kayıtları'!$S$9:$S$208,"Yüksek"))</x:f>
      </x:c>
      <x:c r="K53" s="33" t="str">
        <x:f>IF(A53="","",COUNTIFS('Kontrol Kayıtları'!$A$9:$A$208,"&gt;="&amp;A53,'Kontrol Kayıtları'!$A$9:$A$208,"&lt;="&amp;B53,'Kontrol Kayıtları'!$S$9:$S$208,"Kritik"))</x:f>
      </x:c>
      <x:c r="L53" s="33"/>
    </x:row>
    <x:row r="54">
      <x:c r="A54" s="92"/>
      <x:c r="B54" s="92" t="str">
        <x:f>IF(A54="","",A54+6)</x:f>
      </x:c>
      <x:c r="C54" s="38" t="str">
        <x:f>IF(A54="","",COUNTIFS('Kontrol Kayıtları'!$A$9:$A$208,"&gt;="&amp;A54,'Kontrol Kayıtları'!$A$9:$A$208,"&lt;="&amp;B54))</x:f>
      </x:c>
      <x:c r="D54" s="38" t="str">
        <x:f>IF(A54="","",COUNTIFS('Kontrol Kayıtları'!$A$9:$A$208,"&gt;="&amp;A54,'Kontrol Kayıtları'!$A$9:$A$208,"&lt;="&amp;B54,'Kontrol Kayıtları'!$R$9:$R$208,"PROSES BAŞLATILABİLİR"))</x:f>
      </x:c>
      <x:c r="E54" s="38" t="str">
        <x:f>IF(A54="","",COUNTIFS('Kontrol Kayıtları'!$A$9:$A$208,"&gt;="&amp;A54,'Kontrol Kayıtları'!$A$9:$A$208,"&lt;="&amp;B54,'Kontrol Kayıtları'!$R$9:$R$208,"EKSİKLERİ TAMAMLA"))</x:f>
      </x:c>
      <x:c r="F54" s="38" t="str">
        <x:f>IF(A54="","",COUNTIFS('Kontrol Kayıtları'!$A$9:$A$208,"&gt;="&amp;A54,'Kontrol Kayıtları'!$A$9:$A$208,"&lt;="&amp;B54,'Kontrol Kayıtları'!$R$9:$R$208,"BAŞLATMA"))</x:f>
      </x:c>
      <x:c r="G54" s="94" t="n">
        <x:f>IFERROR(SUMIFS('Kontrol Kayıtları'!$Q$9:$Q$208,'Kontrol Kayıtları'!$A$9:$A$208,"&gt;="&amp;A54,'Kontrol Kayıtları'!$A$9:$A$208,"&lt;="&amp;B54)/C54,0)</x:f>
        <x:v>0</x:v>
      </x:c>
      <x:c r="H54" s="38" t="str">
        <x:f>IF(A54="","",COUNTIFS('Kontrol Kayıtları'!$A$9:$A$208,"&gt;="&amp;A54,'Kontrol Kayıtları'!$A$9:$A$208,"&lt;="&amp;B54,'Kontrol Kayıtları'!$S$9:$S$208,"Düşük"))</x:f>
      </x:c>
      <x:c r="I54" s="38" t="str">
        <x:f>IF(A54="","",COUNTIFS('Kontrol Kayıtları'!$A$9:$A$208,"&gt;="&amp;A54,'Kontrol Kayıtları'!$A$9:$A$208,"&lt;="&amp;B54,'Kontrol Kayıtları'!$S$9:$S$208,"Orta"))</x:f>
      </x:c>
      <x:c r="J54" s="38" t="str">
        <x:f>IF(A54="","",COUNTIFS('Kontrol Kayıtları'!$A$9:$A$208,"&gt;="&amp;A54,'Kontrol Kayıtları'!$A$9:$A$208,"&lt;="&amp;B54,'Kontrol Kayıtları'!$S$9:$S$208,"Yüksek"))</x:f>
      </x:c>
      <x:c r="K54" s="38" t="str">
        <x:f>IF(A54="","",COUNTIFS('Kontrol Kayıtları'!$A$9:$A$208,"&gt;="&amp;A54,'Kontrol Kayıtları'!$A$9:$A$208,"&lt;="&amp;B54,'Kontrol Kayıtları'!$S$9:$S$208,"Kritik"))</x:f>
      </x:c>
      <x:c r="L54" s="38"/>
    </x:row>
    <x:row r="55">
      <x:c r="A55" s="106"/>
      <x:c r="B55" s="106" t="str">
        <x:f>IF(A55="","",A55+6)</x:f>
      </x:c>
      <x:c r="C55" s="33" t="str">
        <x:f>IF(A55="","",COUNTIFS('Kontrol Kayıtları'!$A$9:$A$208,"&gt;="&amp;A55,'Kontrol Kayıtları'!$A$9:$A$208,"&lt;="&amp;B55))</x:f>
      </x:c>
      <x:c r="D55" s="33" t="str">
        <x:f>IF(A55="","",COUNTIFS('Kontrol Kayıtları'!$A$9:$A$208,"&gt;="&amp;A55,'Kontrol Kayıtları'!$A$9:$A$208,"&lt;="&amp;B55,'Kontrol Kayıtları'!$R$9:$R$208,"PROSES BAŞLATILABİLİR"))</x:f>
      </x:c>
      <x:c r="E55" s="33" t="str">
        <x:f>IF(A55="","",COUNTIFS('Kontrol Kayıtları'!$A$9:$A$208,"&gt;="&amp;A55,'Kontrol Kayıtları'!$A$9:$A$208,"&lt;="&amp;B55,'Kontrol Kayıtları'!$R$9:$R$208,"EKSİKLERİ TAMAMLA"))</x:f>
      </x:c>
      <x:c r="F55" s="33" t="str">
        <x:f>IF(A55="","",COUNTIFS('Kontrol Kayıtları'!$A$9:$A$208,"&gt;="&amp;A55,'Kontrol Kayıtları'!$A$9:$A$208,"&lt;="&amp;B55,'Kontrol Kayıtları'!$R$9:$R$208,"BAŞLATMA"))</x:f>
      </x:c>
      <x:c r="G55" s="108" t="n">
        <x:f>IFERROR(SUMIFS('Kontrol Kayıtları'!$Q$9:$Q$208,'Kontrol Kayıtları'!$A$9:$A$208,"&gt;="&amp;A55,'Kontrol Kayıtları'!$A$9:$A$208,"&lt;="&amp;B55)/C55,0)</x:f>
        <x:v>0</x:v>
      </x:c>
      <x:c r="H55" s="33" t="str">
        <x:f>IF(A55="","",COUNTIFS('Kontrol Kayıtları'!$A$9:$A$208,"&gt;="&amp;A55,'Kontrol Kayıtları'!$A$9:$A$208,"&lt;="&amp;B55,'Kontrol Kayıtları'!$S$9:$S$208,"Düşük"))</x:f>
      </x:c>
      <x:c r="I55" s="33" t="str">
        <x:f>IF(A55="","",COUNTIFS('Kontrol Kayıtları'!$A$9:$A$208,"&gt;="&amp;A55,'Kontrol Kayıtları'!$A$9:$A$208,"&lt;="&amp;B55,'Kontrol Kayıtları'!$S$9:$S$208,"Orta"))</x:f>
      </x:c>
      <x:c r="J55" s="33" t="str">
        <x:f>IF(A55="","",COUNTIFS('Kontrol Kayıtları'!$A$9:$A$208,"&gt;="&amp;A55,'Kontrol Kayıtları'!$A$9:$A$208,"&lt;="&amp;B55,'Kontrol Kayıtları'!$S$9:$S$208,"Yüksek"))</x:f>
      </x:c>
      <x:c r="K55" s="33" t="str">
        <x:f>IF(A55="","",COUNTIFS('Kontrol Kayıtları'!$A$9:$A$208,"&gt;="&amp;A55,'Kontrol Kayıtları'!$A$9:$A$208,"&lt;="&amp;B55,'Kontrol Kayıtları'!$S$9:$S$208,"Kritik"))</x:f>
      </x:c>
      <x:c r="L55" s="33"/>
    </x:row>
    <x:row r="56">
      <x:c r="A56" s="92"/>
      <x:c r="B56" s="92" t="str">
        <x:f>IF(A56="","",A56+6)</x:f>
      </x:c>
      <x:c r="C56" s="38" t="str">
        <x:f>IF(A56="","",COUNTIFS('Kontrol Kayıtları'!$A$9:$A$208,"&gt;="&amp;A56,'Kontrol Kayıtları'!$A$9:$A$208,"&lt;="&amp;B56))</x:f>
      </x:c>
      <x:c r="D56" s="38" t="str">
        <x:f>IF(A56="","",COUNTIFS('Kontrol Kayıtları'!$A$9:$A$208,"&gt;="&amp;A56,'Kontrol Kayıtları'!$A$9:$A$208,"&lt;="&amp;B56,'Kontrol Kayıtları'!$R$9:$R$208,"PROSES BAŞLATILABİLİR"))</x:f>
      </x:c>
      <x:c r="E56" s="38" t="str">
        <x:f>IF(A56="","",COUNTIFS('Kontrol Kayıtları'!$A$9:$A$208,"&gt;="&amp;A56,'Kontrol Kayıtları'!$A$9:$A$208,"&lt;="&amp;B56,'Kontrol Kayıtları'!$R$9:$R$208,"EKSİKLERİ TAMAMLA"))</x:f>
      </x:c>
      <x:c r="F56" s="38" t="str">
        <x:f>IF(A56="","",COUNTIFS('Kontrol Kayıtları'!$A$9:$A$208,"&gt;="&amp;A56,'Kontrol Kayıtları'!$A$9:$A$208,"&lt;="&amp;B56,'Kontrol Kayıtları'!$R$9:$R$208,"BAŞLATMA"))</x:f>
      </x:c>
      <x:c r="G56" s="94" t="n">
        <x:f>IFERROR(SUMIFS('Kontrol Kayıtları'!$Q$9:$Q$208,'Kontrol Kayıtları'!$A$9:$A$208,"&gt;="&amp;A56,'Kontrol Kayıtları'!$A$9:$A$208,"&lt;="&amp;B56)/C56,0)</x:f>
        <x:v>0</x:v>
      </x:c>
      <x:c r="H56" s="38" t="str">
        <x:f>IF(A56="","",COUNTIFS('Kontrol Kayıtları'!$A$9:$A$208,"&gt;="&amp;A56,'Kontrol Kayıtları'!$A$9:$A$208,"&lt;="&amp;B56,'Kontrol Kayıtları'!$S$9:$S$208,"Düşük"))</x:f>
      </x:c>
      <x:c r="I56" s="38" t="str">
        <x:f>IF(A56="","",COUNTIFS('Kontrol Kayıtları'!$A$9:$A$208,"&gt;="&amp;A56,'Kontrol Kayıtları'!$A$9:$A$208,"&lt;="&amp;B56,'Kontrol Kayıtları'!$S$9:$S$208,"Orta"))</x:f>
      </x:c>
      <x:c r="J56" s="38" t="str">
        <x:f>IF(A56="","",COUNTIFS('Kontrol Kayıtları'!$A$9:$A$208,"&gt;="&amp;A56,'Kontrol Kayıtları'!$A$9:$A$208,"&lt;="&amp;B56,'Kontrol Kayıtları'!$S$9:$S$208,"Yüksek"))</x:f>
      </x:c>
      <x:c r="K56" s="38" t="str">
        <x:f>IF(A56="","",COUNTIFS('Kontrol Kayıtları'!$A$9:$A$208,"&gt;="&amp;A56,'Kontrol Kayıtları'!$A$9:$A$208,"&lt;="&amp;B56,'Kontrol Kayıtları'!$S$9:$S$208,"Kritik"))</x:f>
      </x:c>
      <x:c r="L56" s="38"/>
    </x:row>
    <x:row r="57">
      <x:c r="A57" s="106"/>
      <x:c r="B57" s="106" t="str">
        <x:f>IF(A57="","",A57+6)</x:f>
      </x:c>
      <x:c r="C57" s="33" t="str">
        <x:f>IF(A57="","",COUNTIFS('Kontrol Kayıtları'!$A$9:$A$208,"&gt;="&amp;A57,'Kontrol Kayıtları'!$A$9:$A$208,"&lt;="&amp;B57))</x:f>
      </x:c>
      <x:c r="D57" s="33" t="str">
        <x:f>IF(A57="","",COUNTIFS('Kontrol Kayıtları'!$A$9:$A$208,"&gt;="&amp;A57,'Kontrol Kayıtları'!$A$9:$A$208,"&lt;="&amp;B57,'Kontrol Kayıtları'!$R$9:$R$208,"PROSES BAŞLATILABİLİR"))</x:f>
      </x:c>
      <x:c r="E57" s="33" t="str">
        <x:f>IF(A57="","",COUNTIFS('Kontrol Kayıtları'!$A$9:$A$208,"&gt;="&amp;A57,'Kontrol Kayıtları'!$A$9:$A$208,"&lt;="&amp;B57,'Kontrol Kayıtları'!$R$9:$R$208,"EKSİKLERİ TAMAMLA"))</x:f>
      </x:c>
      <x:c r="F57" s="33" t="str">
        <x:f>IF(A57="","",COUNTIFS('Kontrol Kayıtları'!$A$9:$A$208,"&gt;="&amp;A57,'Kontrol Kayıtları'!$A$9:$A$208,"&lt;="&amp;B57,'Kontrol Kayıtları'!$R$9:$R$208,"BAŞLATMA"))</x:f>
      </x:c>
      <x:c r="G57" s="108" t="n">
        <x:f>IFERROR(SUMIFS('Kontrol Kayıtları'!$Q$9:$Q$208,'Kontrol Kayıtları'!$A$9:$A$208,"&gt;="&amp;A57,'Kontrol Kayıtları'!$A$9:$A$208,"&lt;="&amp;B57)/C57,0)</x:f>
        <x:v>0</x:v>
      </x:c>
      <x:c r="H57" s="33" t="str">
        <x:f>IF(A57="","",COUNTIFS('Kontrol Kayıtları'!$A$9:$A$208,"&gt;="&amp;A57,'Kontrol Kayıtları'!$A$9:$A$208,"&lt;="&amp;B57,'Kontrol Kayıtları'!$S$9:$S$208,"Düşük"))</x:f>
      </x:c>
      <x:c r="I57" s="33" t="str">
        <x:f>IF(A57="","",COUNTIFS('Kontrol Kayıtları'!$A$9:$A$208,"&gt;="&amp;A57,'Kontrol Kayıtları'!$A$9:$A$208,"&lt;="&amp;B57,'Kontrol Kayıtları'!$S$9:$S$208,"Orta"))</x:f>
      </x:c>
      <x:c r="J57" s="33" t="str">
        <x:f>IF(A57="","",COUNTIFS('Kontrol Kayıtları'!$A$9:$A$208,"&gt;="&amp;A57,'Kontrol Kayıtları'!$A$9:$A$208,"&lt;="&amp;B57,'Kontrol Kayıtları'!$S$9:$S$208,"Yüksek"))</x:f>
      </x:c>
      <x:c r="K57" s="33" t="str">
        <x:f>IF(A57="","",COUNTIFS('Kontrol Kayıtları'!$A$9:$A$208,"&gt;="&amp;A57,'Kontrol Kayıtları'!$A$9:$A$208,"&lt;="&amp;B57,'Kontrol Kayıtları'!$S$9:$S$208,"Kritik"))</x:f>
      </x:c>
      <x:c r="L57" s="33"/>
    </x:row>
  </x:sheetData>
  <x:mergeCells>
    <x:mergeCell ref="A1:L2"/>
    <x:mergeCell ref="A3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4" hidden="0" customWidth="1"/>
    <x:col min="5" max="5" width="20" hidden="0" customWidth="1"/>
    <x:col min="6" max="6" width="28" hidden="0" customWidth="1"/>
    <x:col min="7" max="7" width="18" hidden="0" customWidth="1"/>
    <x:col min="8" max="8" width="12" hidden="0" customWidth="1"/>
    <x:col min="9" max="9" width="14" hidden="0" customWidth="1"/>
    <x:col min="10" max="10" width="16" hidden="0" customWidth="1"/>
    <x:col min="11" max="11" width="16" hidden="0" customWidth="1"/>
  </x:cols>
  <x:sheetData>
    <x:row r="1">
      <x:c r="A1" s="13" t="str">
        <x:v>Kontrol Durumu</x:v>
      </x:c>
      <x:c r="B1" s="14" t="str">
        <x:v>Başlatma Kararı</x:v>
      </x:c>
      <x:c r="C1" s="14" t="str">
        <x:v>Kumaş Formu</x:v>
      </x:c>
      <x:c r="D1" s="14" t="str">
        <x:v>Vardiya</x:v>
      </x:c>
      <x:c r="E1" s="14" t="str">
        <x:v>Kumaş Grubu</x:v>
      </x:c>
      <x:c r="F1" s="14" t="str">
        <x:v>Proses Tipi</x:v>
      </x:c>
      <x:c r="G1" s="14" t="str">
        <x:v>Renk Grubu</x:v>
      </x:c>
      <x:c r="H1" s="14" t="str">
        <x:v>Evet/Hayır</x:v>
      </x:c>
      <x:c r="I1" s="14" t="str">
        <x:v>Risk Seviyesi</x:v>
      </x:c>
      <x:c r="J1" s="14" t="str">
        <x:v>Numune Sonucu</x:v>
      </x:c>
      <x:c r="K1" s="15" t="str">
        <x:v>Makine Temizlik</x:v>
      </x:c>
    </x:row>
    <x:row r="2">
      <x:c r="A2" s="38" t="str">
        <x:v>Uygun</x:v>
      </x:c>
      <x:c r="B2" s="38" t="str">
        <x:v>PROSES BAŞLATILABİLİR</x:v>
      </x:c>
      <x:c r="C2" s="38" t="str">
        <x:v>Tüp</x:v>
      </x:c>
      <x:c r="D2" s="38" t="str">
        <x:v>1. Vardiya</x:v>
      </x:c>
      <x:c r="E2" s="38" t="str">
        <x:v>Pamuk</x:v>
      </x:c>
      <x:c r="F2" s="38" t="str">
        <x:v>30→60 °C Klasik Reaktif</x:v>
      </x:c>
      <x:c r="G2" s="38" t="str">
        <x:v>Açık</x:v>
      </x:c>
      <x:c r="H2" s="38" t="str">
        <x:v>Hayır</x:v>
      </x:c>
      <x:c r="I2" s="38" t="str">
        <x:v>Düşük</x:v>
      </x:c>
      <x:c r="J2" s="38" t="str">
        <x:v>Uygun</x:v>
      </x:c>
      <x:c r="K2" s="38" t="str">
        <x:v>Uygun</x:v>
      </x:c>
    </x:row>
    <x:row r="3">
      <x:c r="A3" s="33" t="str">
        <x:v>Eksik</x:v>
      </x:c>
      <x:c r="B3" s="33" t="str">
        <x:v>EKSİKLERİ TAMAMLA</x:v>
      </x:c>
      <x:c r="C3" s="33" t="str">
        <x:v>Açık En</x:v>
      </x:c>
      <x:c r="D3" s="33" t="str">
        <x:v>2. Vardiya</x:v>
      </x:c>
      <x:c r="E3" s="33" t="str">
        <x:v>Pamuk + Elastan</x:v>
      </x:c>
      <x:c r="F3" s="33" t="str">
        <x:v>60–60 °C Tuz Baştan</x:v>
      </x:c>
      <x:c r="G3" s="33" t="str">
        <x:v>Orta</x:v>
      </x:c>
      <x:c r="H3" s="33" t="str">
        <x:v>Evet</x:v>
      </x:c>
      <x:c r="I3" s="33" t="str">
        <x:v>Orta</x:v>
      </x:c>
      <x:c r="J3" s="33" t="str">
        <x:v>Şartlı</x:v>
      </x:c>
      <x:c r="K3" s="33" t="str">
        <x:v>Şartlı</x:v>
      </x:c>
    </x:row>
    <x:row r="4">
      <x:c r="A4" s="38" t="str">
        <x:v>Uygun Değil</x:v>
      </x:c>
      <x:c r="B4" s="38" t="str">
        <x:v>BAŞLATMA</x:v>
      </x:c>
      <x:c r="C4" s="38" t="str">
        <x:v>Halat</x:v>
      </x:c>
      <x:c r="D4" s="38" t="str">
        <x:v>3. Vardiya</x:v>
      </x:c>
      <x:c r="E4" s="38" t="str">
        <x:v>Polyester</x:v>
      </x:c>
      <x:c r="F4" s="38" t="str">
        <x:v>60–60 °C Tuz Sonradan</x:v>
      </x:c>
      <x:c r="G4" s="38" t="str">
        <x:v>Koyu</x:v>
      </x:c>
      <x:c r="H4" s="38" t="str"/>
      <x:c r="I4" s="38" t="str">
        <x:v>Yüksek</x:v>
      </x:c>
      <x:c r="J4" s="38" t="str">
        <x:v>Uygun Değil</x:v>
      </x:c>
      <x:c r="K4" s="38" t="str">
        <x:v>Uygun Değil</x:v>
      </x:c>
    </x:row>
    <x:row r="5">
      <x:c r="A5" s="33" t="str">
        <x:v>Uygulanamaz</x:v>
      </x:c>
      <x:c r="B5" s="33" t="str">
        <x:v>KONTROL EKSİK</x:v>
      </x:c>
      <x:c r="C5" s="33" t="str"/>
      <x:c r="D5" s="33" t="str"/>
      <x:c r="E5" s="33" t="str">
        <x:v>Polyester + Elastan</x:v>
      </x:c>
      <x:c r="F5" s="33" t="str">
        <x:v>60→80→60 °C Migrasyon</x:v>
      </x:c>
      <x:c r="G5" s="33" t="str">
        <x:v>Turkuaz / Mavi</x:v>
      </x:c>
      <x:c r="H5" s="33" t="str"/>
      <x:c r="I5" s="33" t="str">
        <x:v>Kritik</x:v>
      </x:c>
      <x:c r="J5" s="33" t="str"/>
      <x:c r="K5" s="33" t="str"/>
    </x:row>
    <x:row r="6">
      <x:c r="A6" s="38" t="str"/>
      <x:c r="B6" s="38" t="str"/>
      <x:c r="C6" s="38" t="str"/>
      <x:c r="D6" s="38" t="str"/>
      <x:c r="E6" s="38" t="str">
        <x:v>Pamuk–Polyester</x:v>
      </x:c>
      <x:c r="F6" s="38" t="str">
        <x:v>80→60 °C Kontrollü İniş</x:v>
      </x:c>
      <x:c r="G6" s="38" t="str">
        <x:v>Siyah / Lacivert</x:v>
      </x:c>
      <x:c r="H6" s="38" t="str"/>
      <x:c r="I6" s="38" t="str"/>
      <x:c r="J6" s="38" t="str"/>
      <x:c r="K6" s="38" t="str"/>
    </x:row>
    <x:row r="7">
      <x:c r="A7" s="33" t="str"/>
      <x:c r="B7" s="33" t="str"/>
      <x:c r="C7" s="33" t="str"/>
      <x:c r="D7" s="33" t="str"/>
      <x:c r="E7" s="33" t="str">
        <x:v>Naylon / Poliamid</x:v>
      </x:c>
      <x:c r="F7" s="33" t="str">
        <x:v>Polyester Dispers</x:v>
      </x:c>
      <x:c r="G7" s="33" t="str"/>
      <x:c r="H7" s="33" t="str"/>
      <x:c r="I7" s="33" t="str"/>
      <x:c r="J7" s="33" t="str"/>
      <x:c r="K7" s="33" t="str"/>
    </x:row>
    <x:row r="8">
      <x:c r="A8" s="38" t="str"/>
      <x:c r="B8" s="38" t="str"/>
      <x:c r="C8" s="38" t="str"/>
      <x:c r="D8" s="38" t="str"/>
      <x:c r="E8" s="38" t="str">
        <x:v>Naylon + Elastan</x:v>
      </x:c>
      <x:c r="F8" s="38" t="str">
        <x:v>Polyester Redüktif Temizleme</x:v>
      </x:c>
      <x:c r="G8" s="38" t="str"/>
      <x:c r="H8" s="38" t="str"/>
      <x:c r="I8" s="38" t="str"/>
      <x:c r="J8" s="38" t="str"/>
      <x:c r="K8" s="38" t="str"/>
    </x:row>
    <x:row r="9">
      <x:c r="A9" s="33" t="str"/>
      <x:c r="B9" s="33" t="str"/>
      <x:c r="C9" s="33" t="str"/>
      <x:c r="D9" s="33" t="str"/>
      <x:c r="E9" s="33" t="str">
        <x:v>Diğer</x:v>
      </x:c>
      <x:c r="F9" s="33" t="str">
        <x:v>Naylon / Poliamid Asit</x:v>
      </x:c>
      <x:c r="G9" s="33" t="str"/>
      <x:c r="H9" s="33" t="str"/>
      <x:c r="I9" s="33" t="str"/>
      <x:c r="J9" s="33" t="str"/>
      <x:c r="K9" s="33" t="str"/>
    </x:row>
    <x:row r="10">
      <x:c r="A10" s="38" t="str"/>
      <x:c r="B10" s="38" t="str"/>
      <x:c r="C10" s="38" t="str"/>
      <x:c r="D10" s="38" t="str"/>
      <x:c r="E10" s="38" t="str"/>
      <x:c r="F10" s="38" t="str">
        <x:v>Pamuk–Polyester Çift Banyo</x:v>
      </x:c>
      <x:c r="G10" s="38" t="str"/>
      <x:c r="H10" s="38" t="str"/>
      <x:c r="I10" s="38" t="str"/>
      <x:c r="J10" s="38" t="str"/>
      <x:c r="K10" s="38" t="str"/>
    </x:row>
    <x:row r="11">
      <x:c r="A11" s="33" t="str"/>
      <x:c r="B11" s="33" t="str"/>
      <x:c r="C11" s="33" t="str"/>
      <x:c r="D11" s="33" t="str"/>
      <x:c r="E11" s="33" t="str"/>
      <x:c r="F11" s="33" t="str">
        <x:v>Diğer</x:v>
      </x:c>
      <x:c r="G11" s="33" t="str"/>
      <x:c r="H11" s="33" t="str"/>
      <x:c r="I11" s="33" t="str"/>
      <x:c r="J11" s="33" t="str"/>
      <x:c r="K11" s="33" t="str"/>
    </x:row>
  </x:sheetData>
  <x:pageMargins left="0.7" right="0.7" top="0.75" bottom="0.75" header="0.3" footer="0.3"/>
</x:worksheet>
</file>